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alsabil/Desktop/SINGGAH COFFEE/"/>
    </mc:Choice>
  </mc:AlternateContent>
  <xr:revisionPtr revIDLastSave="0" documentId="13_ncr:1_{40FAFC88-0736-1446-BE28-FAA4C5BECA75}" xr6:coauthVersionLast="36" xr6:coauthVersionMax="36" xr10:uidLastSave="{00000000-0000-0000-0000-000000000000}"/>
  <bookViews>
    <workbookView xWindow="0" yWindow="0" windowWidth="35840" windowHeight="22400" tabRatio="500" activeTab="3" xr2:uid="{00000000-000D-0000-FFFF-FFFF00000000}"/>
  </bookViews>
  <sheets>
    <sheet name="Panduan" sheetId="1" r:id="rId1"/>
    <sheet name="Ringkasan" sheetId="2" r:id="rId2"/>
    <sheet name="Master Bahan Baku" sheetId="3" r:id="rId3"/>
    <sheet name="Resep Menu" sheetId="4" r:id="rId4"/>
    <sheet name="Kebutuhan Stok" sheetId="5" r:id="rId5"/>
    <sheet name="HPP &amp; Harga Jual" sheetId="6" r:id="rId6"/>
    <sheet name="Benchmark Kompetitor" sheetId="7" r:id="rId7"/>
    <sheet name="BEP" sheetId="8" r:id="rId8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8" l="1"/>
  <c r="F16" i="6"/>
  <c r="D16" i="6"/>
  <c r="G105" i="5"/>
  <c r="F105" i="5"/>
  <c r="E105" i="5"/>
  <c r="C105" i="5"/>
  <c r="B105" i="5"/>
  <c r="A105" i="5"/>
  <c r="G104" i="5"/>
  <c r="F104" i="5"/>
  <c r="E104" i="5"/>
  <c r="C104" i="5"/>
  <c r="B104" i="5"/>
  <c r="A104" i="5"/>
  <c r="G103" i="5"/>
  <c r="F103" i="5"/>
  <c r="E103" i="5"/>
  <c r="C103" i="5"/>
  <c r="B103" i="5"/>
  <c r="A103" i="5"/>
  <c r="G102" i="5"/>
  <c r="F102" i="5"/>
  <c r="E102" i="5"/>
  <c r="C102" i="5"/>
  <c r="B102" i="5"/>
  <c r="A102" i="5"/>
  <c r="G101" i="5"/>
  <c r="F101" i="5"/>
  <c r="E101" i="5"/>
  <c r="C101" i="5"/>
  <c r="B101" i="5"/>
  <c r="A101" i="5"/>
  <c r="G100" i="5"/>
  <c r="F100" i="5"/>
  <c r="E100" i="5"/>
  <c r="C100" i="5"/>
  <c r="B100" i="5"/>
  <c r="A100" i="5"/>
  <c r="G99" i="5"/>
  <c r="F99" i="5"/>
  <c r="E99" i="5"/>
  <c r="C99" i="5"/>
  <c r="B99" i="5"/>
  <c r="A99" i="5"/>
  <c r="G98" i="5"/>
  <c r="F98" i="5"/>
  <c r="E98" i="5"/>
  <c r="C98" i="5"/>
  <c r="B98" i="5"/>
  <c r="A98" i="5"/>
  <c r="G97" i="5"/>
  <c r="F97" i="5"/>
  <c r="E97" i="5"/>
  <c r="C97" i="5"/>
  <c r="B97" i="5"/>
  <c r="A97" i="5"/>
  <c r="G96" i="5"/>
  <c r="F96" i="5"/>
  <c r="E96" i="5"/>
  <c r="C96" i="5"/>
  <c r="B96" i="5"/>
  <c r="A96" i="5"/>
  <c r="G95" i="5"/>
  <c r="F95" i="5"/>
  <c r="E95" i="5"/>
  <c r="C95" i="5"/>
  <c r="B95" i="5"/>
  <c r="A95" i="5"/>
  <c r="G94" i="5"/>
  <c r="F94" i="5"/>
  <c r="E94" i="5"/>
  <c r="C94" i="5"/>
  <c r="B94" i="5"/>
  <c r="A94" i="5"/>
  <c r="G93" i="5"/>
  <c r="F93" i="5"/>
  <c r="E93" i="5"/>
  <c r="C93" i="5"/>
  <c r="B93" i="5"/>
  <c r="A93" i="5"/>
  <c r="G92" i="5"/>
  <c r="F92" i="5"/>
  <c r="E92" i="5"/>
  <c r="C92" i="5"/>
  <c r="B92" i="5"/>
  <c r="A92" i="5"/>
  <c r="F88" i="5"/>
  <c r="E88" i="5"/>
  <c r="D88" i="5"/>
  <c r="C88" i="5"/>
  <c r="I88" i="5" s="1"/>
  <c r="A88" i="5"/>
  <c r="F87" i="5"/>
  <c r="E87" i="5"/>
  <c r="D87" i="5"/>
  <c r="C87" i="5"/>
  <c r="I87" i="5" s="1"/>
  <c r="A87" i="5"/>
  <c r="F86" i="5"/>
  <c r="E86" i="5"/>
  <c r="D86" i="5"/>
  <c r="A86" i="5"/>
  <c r="F85" i="5"/>
  <c r="E85" i="5"/>
  <c r="D85" i="5"/>
  <c r="A85" i="5"/>
  <c r="F84" i="5"/>
  <c r="E84" i="5"/>
  <c r="D84" i="5"/>
  <c r="A84" i="5"/>
  <c r="F83" i="5"/>
  <c r="E83" i="5"/>
  <c r="D83" i="5"/>
  <c r="A83" i="5"/>
  <c r="F82" i="5"/>
  <c r="E82" i="5"/>
  <c r="D82" i="5"/>
  <c r="A82" i="5"/>
  <c r="F81" i="5"/>
  <c r="E81" i="5"/>
  <c r="D81" i="5"/>
  <c r="A81" i="5"/>
  <c r="F80" i="5"/>
  <c r="E80" i="5"/>
  <c r="D80" i="5"/>
  <c r="A80" i="5"/>
  <c r="F79" i="5"/>
  <c r="E79" i="5"/>
  <c r="D79" i="5"/>
  <c r="A79" i="5"/>
  <c r="F78" i="5"/>
  <c r="E78" i="5"/>
  <c r="D78" i="5"/>
  <c r="A78" i="5"/>
  <c r="F77" i="5"/>
  <c r="E77" i="5"/>
  <c r="D77" i="5"/>
  <c r="A77" i="5"/>
  <c r="F76" i="5"/>
  <c r="E76" i="5"/>
  <c r="D76" i="5"/>
  <c r="C76" i="5"/>
  <c r="I76" i="5" s="1"/>
  <c r="A76" i="5"/>
  <c r="F75" i="5"/>
  <c r="E75" i="5"/>
  <c r="D75" i="5"/>
  <c r="C75" i="5"/>
  <c r="I75" i="5" s="1"/>
  <c r="A75" i="5"/>
  <c r="F74" i="5"/>
  <c r="E74" i="5"/>
  <c r="D74" i="5"/>
  <c r="A74" i="5"/>
  <c r="F73" i="5"/>
  <c r="E73" i="5"/>
  <c r="D73" i="5"/>
  <c r="A73" i="5"/>
  <c r="F72" i="5"/>
  <c r="E72" i="5"/>
  <c r="D72" i="5"/>
  <c r="A72" i="5"/>
  <c r="F71" i="5"/>
  <c r="E71" i="5"/>
  <c r="D71" i="5"/>
  <c r="A71" i="5"/>
  <c r="F70" i="5"/>
  <c r="E70" i="5"/>
  <c r="D70" i="5"/>
  <c r="A70" i="5"/>
  <c r="F69" i="5"/>
  <c r="E69" i="5"/>
  <c r="D69" i="5"/>
  <c r="A69" i="5"/>
  <c r="F68" i="5"/>
  <c r="E68" i="5"/>
  <c r="D68" i="5"/>
  <c r="A68" i="5"/>
  <c r="F67" i="5"/>
  <c r="E67" i="5"/>
  <c r="D67" i="5"/>
  <c r="A67" i="5"/>
  <c r="F66" i="5"/>
  <c r="E66" i="5"/>
  <c r="D66" i="5"/>
  <c r="A66" i="5"/>
  <c r="F65" i="5"/>
  <c r="E65" i="5"/>
  <c r="D65" i="5"/>
  <c r="A65" i="5"/>
  <c r="F64" i="5"/>
  <c r="E64" i="5"/>
  <c r="D64" i="5"/>
  <c r="C64" i="5"/>
  <c r="I64" i="5" s="1"/>
  <c r="A64" i="5"/>
  <c r="F63" i="5"/>
  <c r="E63" i="5"/>
  <c r="D63" i="5"/>
  <c r="C63" i="5"/>
  <c r="I63" i="5" s="1"/>
  <c r="B63" i="5"/>
  <c r="A63" i="5"/>
  <c r="F62" i="5"/>
  <c r="E62" i="5"/>
  <c r="D62" i="5"/>
  <c r="A62" i="5"/>
  <c r="F61" i="5"/>
  <c r="E61" i="5"/>
  <c r="D61" i="5"/>
  <c r="A61" i="5"/>
  <c r="F60" i="5"/>
  <c r="E60" i="5"/>
  <c r="D60" i="5"/>
  <c r="A60" i="5"/>
  <c r="F59" i="5"/>
  <c r="E59" i="5"/>
  <c r="D59" i="5"/>
  <c r="A59" i="5"/>
  <c r="F58" i="5"/>
  <c r="E58" i="5"/>
  <c r="D58" i="5"/>
  <c r="A58" i="5"/>
  <c r="F57" i="5"/>
  <c r="E57" i="5"/>
  <c r="D57" i="5"/>
  <c r="A57" i="5"/>
  <c r="F56" i="5"/>
  <c r="E56" i="5"/>
  <c r="D56" i="5"/>
  <c r="A56" i="5"/>
  <c r="F55" i="5"/>
  <c r="E55" i="5"/>
  <c r="D55" i="5"/>
  <c r="A55" i="5"/>
  <c r="F54" i="5"/>
  <c r="E54" i="5"/>
  <c r="D54" i="5"/>
  <c r="A54" i="5"/>
  <c r="F53" i="5"/>
  <c r="E53" i="5"/>
  <c r="D53" i="5"/>
  <c r="A53" i="5"/>
  <c r="F52" i="5"/>
  <c r="E52" i="5"/>
  <c r="D52" i="5"/>
  <c r="C52" i="5"/>
  <c r="I52" i="5" s="1"/>
  <c r="A52" i="5"/>
  <c r="F51" i="5"/>
  <c r="E51" i="5"/>
  <c r="D51" i="5"/>
  <c r="C51" i="5"/>
  <c r="I51" i="5" s="1"/>
  <c r="A51" i="5"/>
  <c r="F50" i="5"/>
  <c r="E50" i="5"/>
  <c r="D50" i="5"/>
  <c r="A50" i="5"/>
  <c r="F49" i="5"/>
  <c r="E49" i="5"/>
  <c r="D49" i="5"/>
  <c r="A49" i="5"/>
  <c r="F48" i="5"/>
  <c r="E48" i="5"/>
  <c r="D48" i="5"/>
  <c r="A48" i="5"/>
  <c r="F47" i="5"/>
  <c r="E47" i="5"/>
  <c r="D47" i="5"/>
  <c r="A47" i="5"/>
  <c r="F46" i="5"/>
  <c r="E46" i="5"/>
  <c r="D46" i="5"/>
  <c r="A46" i="5"/>
  <c r="F45" i="5"/>
  <c r="E45" i="5"/>
  <c r="D45" i="5"/>
  <c r="A45" i="5"/>
  <c r="F44" i="5"/>
  <c r="E44" i="5"/>
  <c r="D44" i="5"/>
  <c r="A44" i="5"/>
  <c r="F43" i="5"/>
  <c r="E43" i="5"/>
  <c r="D43" i="5"/>
  <c r="A43" i="5"/>
  <c r="F42" i="5"/>
  <c r="E42" i="5"/>
  <c r="D42" i="5"/>
  <c r="A42" i="5"/>
  <c r="F41" i="5"/>
  <c r="E41" i="5"/>
  <c r="D41" i="5"/>
  <c r="A41" i="5"/>
  <c r="F40" i="5"/>
  <c r="E40" i="5"/>
  <c r="D40" i="5"/>
  <c r="C40" i="5"/>
  <c r="I40" i="5" s="1"/>
  <c r="A40" i="5"/>
  <c r="F39" i="5"/>
  <c r="E39" i="5"/>
  <c r="D39" i="5"/>
  <c r="C39" i="5"/>
  <c r="I39" i="5" s="1"/>
  <c r="B39" i="5"/>
  <c r="G39" i="5" s="1"/>
  <c r="H39" i="5" s="1"/>
  <c r="A39" i="5"/>
  <c r="F38" i="5"/>
  <c r="E38" i="5"/>
  <c r="D38" i="5"/>
  <c r="A38" i="5"/>
  <c r="F37" i="5"/>
  <c r="E37" i="5"/>
  <c r="D37" i="5"/>
  <c r="A37" i="5"/>
  <c r="F36" i="5"/>
  <c r="E36" i="5"/>
  <c r="D36" i="5"/>
  <c r="A36" i="5"/>
  <c r="F35" i="5"/>
  <c r="E35" i="5"/>
  <c r="D35" i="5"/>
  <c r="A35" i="5"/>
  <c r="F34" i="5"/>
  <c r="E34" i="5"/>
  <c r="D34" i="5"/>
  <c r="A34" i="5"/>
  <c r="F33" i="5"/>
  <c r="E33" i="5"/>
  <c r="D33" i="5"/>
  <c r="A33" i="5"/>
  <c r="G32" i="5"/>
  <c r="H32" i="5" s="1"/>
  <c r="F32" i="5"/>
  <c r="E32" i="5"/>
  <c r="D32" i="5"/>
  <c r="A32" i="5"/>
  <c r="F31" i="5"/>
  <c r="E31" i="5"/>
  <c r="D31" i="5"/>
  <c r="A31" i="5"/>
  <c r="F30" i="5"/>
  <c r="E30" i="5"/>
  <c r="D30" i="5"/>
  <c r="A30" i="5"/>
  <c r="F29" i="5"/>
  <c r="E29" i="5"/>
  <c r="D29" i="5"/>
  <c r="A29" i="5"/>
  <c r="F28" i="5"/>
  <c r="E28" i="5"/>
  <c r="D28" i="5"/>
  <c r="C28" i="5"/>
  <c r="I28" i="5" s="1"/>
  <c r="A28" i="5"/>
  <c r="F27" i="5"/>
  <c r="E27" i="5"/>
  <c r="D27" i="5"/>
  <c r="C27" i="5"/>
  <c r="I27" i="5" s="1"/>
  <c r="A27" i="5"/>
  <c r="F26" i="5"/>
  <c r="E26" i="5"/>
  <c r="D26" i="5"/>
  <c r="A26" i="5"/>
  <c r="F25" i="5"/>
  <c r="E25" i="5"/>
  <c r="D25" i="5"/>
  <c r="A25" i="5"/>
  <c r="G21" i="5"/>
  <c r="C26" i="8" s="1"/>
  <c r="C27" i="8" s="1"/>
  <c r="G19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H68" i="4"/>
  <c r="G68" i="4"/>
  <c r="C68" i="4"/>
  <c r="C67" i="4"/>
  <c r="C66" i="4"/>
  <c r="C65" i="4"/>
  <c r="G65" i="4" s="1"/>
  <c r="H65" i="4" s="1"/>
  <c r="C64" i="4"/>
  <c r="C84" i="5" s="1"/>
  <c r="I84" i="5" s="1"/>
  <c r="I63" i="4"/>
  <c r="H63" i="4"/>
  <c r="C63" i="4"/>
  <c r="G63" i="4" s="1"/>
  <c r="G62" i="4"/>
  <c r="H62" i="4" s="1"/>
  <c r="C62" i="4"/>
  <c r="C82" i="5" s="1"/>
  <c r="I82" i="5" s="1"/>
  <c r="C61" i="4"/>
  <c r="C81" i="5" s="1"/>
  <c r="I81" i="5" s="1"/>
  <c r="C60" i="4"/>
  <c r="C80" i="5" s="1"/>
  <c r="I80" i="5" s="1"/>
  <c r="C59" i="4"/>
  <c r="C79" i="5" s="1"/>
  <c r="I79" i="5" s="1"/>
  <c r="I58" i="4"/>
  <c r="C58" i="4"/>
  <c r="C78" i="5" s="1"/>
  <c r="I78" i="5" s="1"/>
  <c r="I57" i="4"/>
  <c r="C57" i="4"/>
  <c r="C77" i="5" s="1"/>
  <c r="I77" i="5" s="1"/>
  <c r="B57" i="4"/>
  <c r="B77" i="5" s="1"/>
  <c r="G77" i="5" s="1"/>
  <c r="G56" i="4"/>
  <c r="H56" i="4" s="1"/>
  <c r="C56" i="4"/>
  <c r="C55" i="4"/>
  <c r="C54" i="4"/>
  <c r="C53" i="4"/>
  <c r="G53" i="4" s="1"/>
  <c r="H53" i="4" s="1"/>
  <c r="C52" i="4"/>
  <c r="C72" i="5" s="1"/>
  <c r="I72" i="5" s="1"/>
  <c r="I51" i="4"/>
  <c r="C51" i="4"/>
  <c r="G51" i="4" s="1"/>
  <c r="H51" i="4" s="1"/>
  <c r="I50" i="4"/>
  <c r="C50" i="4"/>
  <c r="C70" i="5" s="1"/>
  <c r="I70" i="5" s="1"/>
  <c r="B50" i="4"/>
  <c r="B70" i="5" s="1"/>
  <c r="G70" i="5" s="1"/>
  <c r="C49" i="4"/>
  <c r="C69" i="5" s="1"/>
  <c r="I69" i="5" s="1"/>
  <c r="C48" i="4"/>
  <c r="C68" i="5" s="1"/>
  <c r="I68" i="5" s="1"/>
  <c r="C47" i="4"/>
  <c r="C67" i="5" s="1"/>
  <c r="I67" i="5" s="1"/>
  <c r="C46" i="4"/>
  <c r="C66" i="5" s="1"/>
  <c r="I66" i="5" s="1"/>
  <c r="C45" i="4"/>
  <c r="C65" i="5" s="1"/>
  <c r="I65" i="5" s="1"/>
  <c r="H44" i="4"/>
  <c r="G44" i="4"/>
  <c r="C44" i="4"/>
  <c r="I43" i="4"/>
  <c r="I44" i="4" s="1"/>
  <c r="C43" i="4"/>
  <c r="G43" i="4" s="1"/>
  <c r="H43" i="4" s="1"/>
  <c r="B43" i="4"/>
  <c r="C42" i="4"/>
  <c r="C41" i="4"/>
  <c r="C40" i="4"/>
  <c r="C60" i="5" s="1"/>
  <c r="I60" i="5" s="1"/>
  <c r="C39" i="4"/>
  <c r="G39" i="4" s="1"/>
  <c r="H39" i="4" s="1"/>
  <c r="C38" i="4"/>
  <c r="C58" i="5" s="1"/>
  <c r="I58" i="5" s="1"/>
  <c r="C37" i="4"/>
  <c r="C57" i="5" s="1"/>
  <c r="I57" i="5" s="1"/>
  <c r="G36" i="4"/>
  <c r="H36" i="4" s="1"/>
  <c r="C36" i="4"/>
  <c r="C56" i="5" s="1"/>
  <c r="I56" i="5" s="1"/>
  <c r="I35" i="4"/>
  <c r="I36" i="4" s="1"/>
  <c r="C35" i="4"/>
  <c r="C55" i="5" s="1"/>
  <c r="I55" i="5" s="1"/>
  <c r="B35" i="4"/>
  <c r="B55" i="5" s="1"/>
  <c r="G55" i="5" s="1"/>
  <c r="G34" i="4"/>
  <c r="H34" i="4" s="1"/>
  <c r="C34" i="4"/>
  <c r="C54" i="5" s="1"/>
  <c r="I54" i="5" s="1"/>
  <c r="C33" i="4"/>
  <c r="C53" i="5" s="1"/>
  <c r="I53" i="5" s="1"/>
  <c r="C32" i="4"/>
  <c r="C31" i="4"/>
  <c r="G31" i="4" s="1"/>
  <c r="H31" i="4" s="1"/>
  <c r="C30" i="4"/>
  <c r="C29" i="4"/>
  <c r="G29" i="4" s="1"/>
  <c r="H29" i="4" s="1"/>
  <c r="I28" i="4"/>
  <c r="I29" i="4" s="1"/>
  <c r="G28" i="4"/>
  <c r="H28" i="4" s="1"/>
  <c r="C28" i="4"/>
  <c r="C48" i="5" s="1"/>
  <c r="I48" i="5" s="1"/>
  <c r="H27" i="4"/>
  <c r="C27" i="4"/>
  <c r="G27" i="4" s="1"/>
  <c r="C26" i="4"/>
  <c r="C46" i="5" s="1"/>
  <c r="I46" i="5" s="1"/>
  <c r="G25" i="4"/>
  <c r="H25" i="4" s="1"/>
  <c r="C25" i="4"/>
  <c r="C45" i="5" s="1"/>
  <c r="I45" i="5" s="1"/>
  <c r="I24" i="4"/>
  <c r="I25" i="4" s="1"/>
  <c r="C24" i="4"/>
  <c r="C44" i="5" s="1"/>
  <c r="I44" i="5" s="1"/>
  <c r="B24" i="4"/>
  <c r="B44" i="5" s="1"/>
  <c r="G44" i="5" s="1"/>
  <c r="H44" i="5" s="1"/>
  <c r="C23" i="4"/>
  <c r="C43" i="5" s="1"/>
  <c r="I43" i="5" s="1"/>
  <c r="C22" i="4"/>
  <c r="C42" i="5" s="1"/>
  <c r="I42" i="5" s="1"/>
  <c r="C21" i="4"/>
  <c r="C41" i="5" s="1"/>
  <c r="I41" i="5" s="1"/>
  <c r="G20" i="4"/>
  <c r="H20" i="4" s="1"/>
  <c r="C20" i="4"/>
  <c r="I19" i="4"/>
  <c r="I20" i="4" s="1"/>
  <c r="C19" i="4"/>
  <c r="G19" i="4" s="1"/>
  <c r="H19" i="4" s="1"/>
  <c r="B19" i="4"/>
  <c r="C18" i="4"/>
  <c r="C17" i="4"/>
  <c r="C16" i="4"/>
  <c r="C36" i="5" s="1"/>
  <c r="I36" i="5" s="1"/>
  <c r="H15" i="4"/>
  <c r="C15" i="4"/>
  <c r="G15" i="4" s="1"/>
  <c r="G14" i="4"/>
  <c r="H14" i="4" s="1"/>
  <c r="C14" i="4"/>
  <c r="C34" i="5" s="1"/>
  <c r="I34" i="5" s="1"/>
  <c r="C13" i="4"/>
  <c r="C33" i="5" s="1"/>
  <c r="I33" i="5" s="1"/>
  <c r="I12" i="4"/>
  <c r="I13" i="4" s="1"/>
  <c r="C12" i="4"/>
  <c r="C32" i="5" s="1"/>
  <c r="I32" i="5" s="1"/>
  <c r="B12" i="4"/>
  <c r="B32" i="5" s="1"/>
  <c r="H11" i="4"/>
  <c r="G11" i="4"/>
  <c r="C11" i="4"/>
  <c r="C31" i="5" s="1"/>
  <c r="I31" i="5" s="1"/>
  <c r="C10" i="4"/>
  <c r="C30" i="5" s="1"/>
  <c r="I30" i="5" s="1"/>
  <c r="C9" i="4"/>
  <c r="C29" i="5" s="1"/>
  <c r="I29" i="5" s="1"/>
  <c r="G8" i="4"/>
  <c r="H8" i="4" s="1"/>
  <c r="C8" i="4"/>
  <c r="C7" i="4"/>
  <c r="G7" i="4" s="1"/>
  <c r="H7" i="4" s="1"/>
  <c r="I6" i="4"/>
  <c r="I7" i="4" s="1"/>
  <c r="C6" i="4"/>
  <c r="B6" i="4"/>
  <c r="B26" i="5" s="1"/>
  <c r="G26" i="5" s="1"/>
  <c r="I5" i="4"/>
  <c r="B5" i="4" s="1"/>
  <c r="C5" i="4"/>
  <c r="G5" i="4" s="1"/>
  <c r="H5" i="4" s="1"/>
  <c r="H18" i="3"/>
  <c r="H17" i="3"/>
  <c r="G58" i="4" s="1"/>
  <c r="H58" i="4" s="1"/>
  <c r="H16" i="3"/>
  <c r="G26" i="4" s="1"/>
  <c r="H26" i="4" s="1"/>
  <c r="H15" i="3"/>
  <c r="G46" i="4" s="1"/>
  <c r="H46" i="4" s="1"/>
  <c r="H14" i="3"/>
  <c r="G23" i="4" s="1"/>
  <c r="H23" i="4" s="1"/>
  <c r="H13" i="3"/>
  <c r="H12" i="3"/>
  <c r="G32" i="4" s="1"/>
  <c r="H32" i="4" s="1"/>
  <c r="H11" i="3"/>
  <c r="H10" i="3"/>
  <c r="H9" i="3"/>
  <c r="H8" i="3"/>
  <c r="G38" i="4" s="1"/>
  <c r="H38" i="4" s="1"/>
  <c r="H7" i="3"/>
  <c r="H6" i="3"/>
  <c r="G24" i="4" s="1"/>
  <c r="H24" i="4" s="1"/>
  <c r="H5" i="3"/>
  <c r="G12" i="4" s="1"/>
  <c r="H12" i="4" s="1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K32" i="5" l="1"/>
  <c r="J32" i="5"/>
  <c r="K44" i="5"/>
  <c r="J44" i="5"/>
  <c r="G37" i="4"/>
  <c r="H37" i="4" s="1"/>
  <c r="B63" i="4"/>
  <c r="B83" i="5" s="1"/>
  <c r="G83" i="5" s="1"/>
  <c r="H83" i="5" s="1"/>
  <c r="I64" i="4"/>
  <c r="B25" i="5"/>
  <c r="G25" i="5" s="1"/>
  <c r="H25" i="5" s="1"/>
  <c r="B51" i="4"/>
  <c r="B71" i="5" s="1"/>
  <c r="G71" i="5" s="1"/>
  <c r="H71" i="5" s="1"/>
  <c r="I52" i="4"/>
  <c r="C26" i="5"/>
  <c r="I26" i="5" s="1"/>
  <c r="G6" i="4"/>
  <c r="H6" i="4" s="1"/>
  <c r="G17" i="4"/>
  <c r="H17" i="4" s="1"/>
  <c r="B58" i="4"/>
  <c r="B78" i="5" s="1"/>
  <c r="G78" i="5" s="1"/>
  <c r="I59" i="4"/>
  <c r="H26" i="5"/>
  <c r="H77" i="5"/>
  <c r="B7" i="4"/>
  <c r="B27" i="5" s="1"/>
  <c r="G27" i="5" s="1"/>
  <c r="H27" i="5" s="1"/>
  <c r="I8" i="4"/>
  <c r="B29" i="4"/>
  <c r="B49" i="5" s="1"/>
  <c r="G49" i="5" s="1"/>
  <c r="H49" i="5" s="1"/>
  <c r="I30" i="4"/>
  <c r="G41" i="4"/>
  <c r="H41" i="4" s="1"/>
  <c r="C86" i="5"/>
  <c r="I86" i="5" s="1"/>
  <c r="G66" i="4"/>
  <c r="H66" i="4" s="1"/>
  <c r="H70" i="5"/>
  <c r="G22" i="4"/>
  <c r="H22" i="4" s="1"/>
  <c r="G10" i="4"/>
  <c r="H10" i="4" s="1"/>
  <c r="G48" i="4"/>
  <c r="H48" i="4" s="1"/>
  <c r="B13" i="4"/>
  <c r="B33" i="5" s="1"/>
  <c r="G33" i="5" s="1"/>
  <c r="H33" i="5" s="1"/>
  <c r="I14" i="4"/>
  <c r="B36" i="4"/>
  <c r="B56" i="5" s="1"/>
  <c r="G56" i="5" s="1"/>
  <c r="H56" i="5" s="1"/>
  <c r="I37" i="4"/>
  <c r="C62" i="5"/>
  <c r="I62" i="5" s="1"/>
  <c r="G42" i="4"/>
  <c r="H42" i="4" s="1"/>
  <c r="C74" i="5"/>
  <c r="I74" i="5" s="1"/>
  <c r="G54" i="4"/>
  <c r="H54" i="4" s="1"/>
  <c r="G67" i="4"/>
  <c r="H67" i="4" s="1"/>
  <c r="H55" i="5"/>
  <c r="B25" i="4"/>
  <c r="B45" i="5" s="1"/>
  <c r="G45" i="5" s="1"/>
  <c r="H45" i="5" s="1"/>
  <c r="I26" i="4"/>
  <c r="D25" i="2"/>
  <c r="G63" i="5"/>
  <c r="H63" i="5" s="1"/>
  <c r="H78" i="5"/>
  <c r="B44" i="4"/>
  <c r="B64" i="5" s="1"/>
  <c r="G64" i="5" s="1"/>
  <c r="H64" i="5" s="1"/>
  <c r="I45" i="4"/>
  <c r="G60" i="4"/>
  <c r="H60" i="4" s="1"/>
  <c r="G40" i="4"/>
  <c r="H40" i="4" s="1"/>
  <c r="G16" i="4"/>
  <c r="H16" i="4" s="1"/>
  <c r="G47" i="4"/>
  <c r="H47" i="4" s="1"/>
  <c r="C38" i="5"/>
  <c r="I38" i="5" s="1"/>
  <c r="G18" i="4"/>
  <c r="H18" i="4" s="1"/>
  <c r="C50" i="5"/>
  <c r="I50" i="5" s="1"/>
  <c r="G30" i="4"/>
  <c r="H30" i="4" s="1"/>
  <c r="G55" i="4"/>
  <c r="H55" i="4" s="1"/>
  <c r="G13" i="4"/>
  <c r="H13" i="4" s="1"/>
  <c r="B20" i="4"/>
  <c r="B40" i="5" s="1"/>
  <c r="G40" i="5" s="1"/>
  <c r="H40" i="5" s="1"/>
  <c r="I21" i="4"/>
  <c r="G49" i="4"/>
  <c r="H49" i="4" s="1"/>
  <c r="G61" i="4"/>
  <c r="H61" i="4" s="1"/>
  <c r="K39" i="5"/>
  <c r="J39" i="5"/>
  <c r="D20" i="2"/>
  <c r="B28" i="4"/>
  <c r="B48" i="5" s="1"/>
  <c r="G48" i="5" s="1"/>
  <c r="H48" i="5" s="1"/>
  <c r="G35" i="4"/>
  <c r="H35" i="4" s="1"/>
  <c r="G59" i="4"/>
  <c r="H59" i="4" s="1"/>
  <c r="C25" i="5"/>
  <c r="D93" i="5" s="1"/>
  <c r="H93" i="5" s="1"/>
  <c r="C37" i="5"/>
  <c r="I37" i="5" s="1"/>
  <c r="C49" i="5"/>
  <c r="I49" i="5" s="1"/>
  <c r="C61" i="5"/>
  <c r="I61" i="5" s="1"/>
  <c r="C73" i="5"/>
  <c r="I73" i="5" s="1"/>
  <c r="C85" i="5"/>
  <c r="I85" i="5" s="1"/>
  <c r="G52" i="4"/>
  <c r="H52" i="4" s="1"/>
  <c r="G64" i="4"/>
  <c r="H64" i="4" s="1"/>
  <c r="G9" i="4"/>
  <c r="H9" i="4" s="1"/>
  <c r="G21" i="4"/>
  <c r="H21" i="4" s="1"/>
  <c r="G33" i="4"/>
  <c r="H33" i="4" s="1"/>
  <c r="G45" i="4"/>
  <c r="H45" i="4" s="1"/>
  <c r="G57" i="4"/>
  <c r="H57" i="4" s="1"/>
  <c r="C35" i="5"/>
  <c r="I35" i="5" s="1"/>
  <c r="C47" i="5"/>
  <c r="I47" i="5" s="1"/>
  <c r="C59" i="5"/>
  <c r="I59" i="5" s="1"/>
  <c r="C71" i="5"/>
  <c r="I71" i="5" s="1"/>
  <c r="C83" i="5"/>
  <c r="I83" i="5" s="1"/>
  <c r="G50" i="4"/>
  <c r="H50" i="4" s="1"/>
  <c r="K25" i="5" l="1"/>
  <c r="J25" i="5"/>
  <c r="K49" i="5"/>
  <c r="J49" i="5"/>
  <c r="J48" i="5"/>
  <c r="K48" i="5"/>
  <c r="J98" i="5" s="1"/>
  <c r="K70" i="5"/>
  <c r="J70" i="5"/>
  <c r="I31" i="4"/>
  <c r="B30" i="4"/>
  <c r="B50" i="5" s="1"/>
  <c r="G50" i="5" s="1"/>
  <c r="H50" i="5" s="1"/>
  <c r="B8" i="4"/>
  <c r="I9" i="4"/>
  <c r="B21" i="4"/>
  <c r="B41" i="5" s="1"/>
  <c r="G41" i="5" s="1"/>
  <c r="H41" i="5" s="1"/>
  <c r="I22" i="4"/>
  <c r="K27" i="5"/>
  <c r="J27" i="5"/>
  <c r="B45" i="4"/>
  <c r="B65" i="5" s="1"/>
  <c r="G65" i="5" s="1"/>
  <c r="H65" i="5" s="1"/>
  <c r="I46" i="4"/>
  <c r="K77" i="5"/>
  <c r="J77" i="5"/>
  <c r="I53" i="4"/>
  <c r="B52" i="4"/>
  <c r="B72" i="5" s="1"/>
  <c r="G72" i="5" s="1"/>
  <c r="H72" i="5" s="1"/>
  <c r="K64" i="5"/>
  <c r="J64" i="5"/>
  <c r="B26" i="4"/>
  <c r="B46" i="5" s="1"/>
  <c r="G46" i="5" s="1"/>
  <c r="H46" i="5" s="1"/>
  <c r="I27" i="4"/>
  <c r="B27" i="4" s="1"/>
  <c r="B47" i="5" s="1"/>
  <c r="G47" i="5" s="1"/>
  <c r="H47" i="5" s="1"/>
  <c r="B37" i="4"/>
  <c r="B57" i="5" s="1"/>
  <c r="G57" i="5" s="1"/>
  <c r="H57" i="5" s="1"/>
  <c r="I38" i="4"/>
  <c r="K71" i="5"/>
  <c r="J71" i="5"/>
  <c r="K45" i="5"/>
  <c r="J45" i="5"/>
  <c r="K56" i="5"/>
  <c r="J56" i="5"/>
  <c r="K55" i="5"/>
  <c r="J93" i="5" s="1"/>
  <c r="J55" i="5"/>
  <c r="B14" i="4"/>
  <c r="B34" i="5" s="1"/>
  <c r="G34" i="5" s="1"/>
  <c r="H34" i="5" s="1"/>
  <c r="I15" i="4"/>
  <c r="K26" i="5"/>
  <c r="J26" i="5"/>
  <c r="I65" i="4"/>
  <c r="B64" i="4"/>
  <c r="B84" i="5" s="1"/>
  <c r="G84" i="5" s="1"/>
  <c r="H84" i="5" s="1"/>
  <c r="D104" i="5" s="1"/>
  <c r="H104" i="5" s="1"/>
  <c r="K33" i="5"/>
  <c r="J33" i="5"/>
  <c r="I60" i="4"/>
  <c r="B59" i="4"/>
  <c r="B79" i="5" s="1"/>
  <c r="G79" i="5" s="1"/>
  <c r="H79" i="5" s="1"/>
  <c r="K83" i="5"/>
  <c r="J83" i="5"/>
  <c r="K40" i="5"/>
  <c r="J40" i="5"/>
  <c r="K78" i="5"/>
  <c r="J78" i="5"/>
  <c r="I25" i="5"/>
  <c r="D98" i="5"/>
  <c r="H98" i="5" s="1"/>
  <c r="D94" i="5"/>
  <c r="H94" i="5" s="1"/>
  <c r="J92" i="5"/>
  <c r="D92" i="5"/>
  <c r="H92" i="5" s="1"/>
  <c r="K63" i="5"/>
  <c r="J63" i="5"/>
  <c r="B46" i="4" l="1"/>
  <c r="B66" i="5" s="1"/>
  <c r="G66" i="5" s="1"/>
  <c r="H66" i="5" s="1"/>
  <c r="I47" i="4"/>
  <c r="K50" i="5"/>
  <c r="J50" i="5"/>
  <c r="B15" i="4"/>
  <c r="B35" i="5" s="1"/>
  <c r="G35" i="5" s="1"/>
  <c r="H35" i="5" s="1"/>
  <c r="I16" i="4"/>
  <c r="B38" i="4"/>
  <c r="B58" i="5" s="1"/>
  <c r="G58" i="5" s="1"/>
  <c r="H58" i="5" s="1"/>
  <c r="I39" i="4"/>
  <c r="B31" i="4"/>
  <c r="B51" i="5" s="1"/>
  <c r="G51" i="5" s="1"/>
  <c r="H51" i="5" s="1"/>
  <c r="I32" i="4"/>
  <c r="K34" i="5"/>
  <c r="J34" i="5"/>
  <c r="D103" i="5"/>
  <c r="H103" i="5" s="1"/>
  <c r="K57" i="5"/>
  <c r="J57" i="5"/>
  <c r="J47" i="5"/>
  <c r="K47" i="5"/>
  <c r="K65" i="5"/>
  <c r="J65" i="5"/>
  <c r="K46" i="5"/>
  <c r="J46" i="5"/>
  <c r="B22" i="4"/>
  <c r="B42" i="5" s="1"/>
  <c r="G42" i="5" s="1"/>
  <c r="H42" i="5" s="1"/>
  <c r="I23" i="4"/>
  <c r="B23" i="4" s="1"/>
  <c r="B43" i="5" s="1"/>
  <c r="G43" i="5" s="1"/>
  <c r="H43" i="5" s="1"/>
  <c r="J94" i="5"/>
  <c r="K79" i="5"/>
  <c r="J79" i="5"/>
  <c r="K41" i="5"/>
  <c r="J41" i="5"/>
  <c r="B60" i="4"/>
  <c r="B80" i="5" s="1"/>
  <c r="G80" i="5" s="1"/>
  <c r="H80" i="5" s="1"/>
  <c r="I61" i="4"/>
  <c r="J72" i="5"/>
  <c r="K72" i="5"/>
  <c r="B53" i="4"/>
  <c r="B73" i="5" s="1"/>
  <c r="G73" i="5" s="1"/>
  <c r="H73" i="5" s="1"/>
  <c r="I54" i="4"/>
  <c r="B9" i="4"/>
  <c r="I10" i="4"/>
  <c r="J84" i="5"/>
  <c r="K84" i="5"/>
  <c r="J104" i="5" s="1"/>
  <c r="B28" i="5"/>
  <c r="G28" i="5" s="1"/>
  <c r="H28" i="5" s="1"/>
  <c r="B65" i="4"/>
  <c r="B85" i="5" s="1"/>
  <c r="G85" i="5" s="1"/>
  <c r="H85" i="5" s="1"/>
  <c r="I66" i="4"/>
  <c r="J103" i="5" l="1"/>
  <c r="K51" i="5"/>
  <c r="J96" i="5" s="1"/>
  <c r="J51" i="5"/>
  <c r="D96" i="5"/>
  <c r="H96" i="5" s="1"/>
  <c r="B61" i="4"/>
  <c r="B81" i="5" s="1"/>
  <c r="G81" i="5" s="1"/>
  <c r="H81" i="5" s="1"/>
  <c r="I62" i="4"/>
  <c r="B62" i="4" s="1"/>
  <c r="B82" i="5" s="1"/>
  <c r="G82" i="5" s="1"/>
  <c r="H82" i="5" s="1"/>
  <c r="B39" i="4"/>
  <c r="B59" i="5" s="1"/>
  <c r="G59" i="5" s="1"/>
  <c r="H59" i="5" s="1"/>
  <c r="I40" i="4"/>
  <c r="B32" i="4"/>
  <c r="B52" i="5" s="1"/>
  <c r="G52" i="5" s="1"/>
  <c r="H52" i="5" s="1"/>
  <c r="I33" i="4"/>
  <c r="J58" i="5"/>
  <c r="K58" i="5"/>
  <c r="I17" i="4"/>
  <c r="B16" i="4"/>
  <c r="B36" i="5" s="1"/>
  <c r="G36" i="5" s="1"/>
  <c r="H36" i="5" s="1"/>
  <c r="K85" i="5"/>
  <c r="J85" i="5"/>
  <c r="K80" i="5"/>
  <c r="J80" i="5"/>
  <c r="K28" i="5"/>
  <c r="J28" i="5"/>
  <c r="D95" i="5"/>
  <c r="H95" i="5" s="1"/>
  <c r="K35" i="5"/>
  <c r="J35" i="5"/>
  <c r="D105" i="5"/>
  <c r="H105" i="5" s="1"/>
  <c r="I48" i="4"/>
  <c r="B47" i="4"/>
  <c r="B67" i="5" s="1"/>
  <c r="G67" i="5" s="1"/>
  <c r="H67" i="5" s="1"/>
  <c r="B10" i="4"/>
  <c r="I11" i="4"/>
  <c r="B11" i="4" s="1"/>
  <c r="B31" i="5" s="1"/>
  <c r="G31" i="5" s="1"/>
  <c r="H31" i="5" s="1"/>
  <c r="B29" i="5"/>
  <c r="G29" i="5" s="1"/>
  <c r="H29" i="5" s="1"/>
  <c r="K43" i="5"/>
  <c r="J43" i="5"/>
  <c r="K66" i="5"/>
  <c r="J102" i="5" s="1"/>
  <c r="J66" i="5"/>
  <c r="D102" i="5"/>
  <c r="H102" i="5" s="1"/>
  <c r="K42" i="5"/>
  <c r="J42" i="5"/>
  <c r="I55" i="4"/>
  <c r="B54" i="4"/>
  <c r="B74" i="5" s="1"/>
  <c r="G74" i="5" s="1"/>
  <c r="H74" i="5" s="1"/>
  <c r="I67" i="4"/>
  <c r="B66" i="4"/>
  <c r="B86" i="5" s="1"/>
  <c r="G86" i="5" s="1"/>
  <c r="H86" i="5" s="1"/>
  <c r="K73" i="5"/>
  <c r="J73" i="5"/>
  <c r="J105" i="5" l="1"/>
  <c r="B33" i="4"/>
  <c r="B53" i="5" s="1"/>
  <c r="G53" i="5" s="1"/>
  <c r="H53" i="5" s="1"/>
  <c r="I34" i="4"/>
  <c r="B34" i="4" s="1"/>
  <c r="B54" i="5" s="1"/>
  <c r="G54" i="5" s="1"/>
  <c r="H54" i="5" s="1"/>
  <c r="K52" i="5"/>
  <c r="J52" i="5"/>
  <c r="B67" i="4"/>
  <c r="B87" i="5" s="1"/>
  <c r="G87" i="5" s="1"/>
  <c r="H87" i="5" s="1"/>
  <c r="I68" i="4"/>
  <c r="B68" i="4" s="1"/>
  <c r="I41" i="4"/>
  <c r="B40" i="4"/>
  <c r="B60" i="5" s="1"/>
  <c r="G60" i="5" s="1"/>
  <c r="H60" i="5" s="1"/>
  <c r="K59" i="5"/>
  <c r="J97" i="5" s="1"/>
  <c r="J59" i="5"/>
  <c r="D97" i="5"/>
  <c r="H97" i="5" s="1"/>
  <c r="J95" i="5"/>
  <c r="B55" i="4"/>
  <c r="B75" i="5" s="1"/>
  <c r="G75" i="5" s="1"/>
  <c r="H75" i="5" s="1"/>
  <c r="I56" i="4"/>
  <c r="B56" i="4" s="1"/>
  <c r="B76" i="5" s="1"/>
  <c r="G76" i="5" s="1"/>
  <c r="H76" i="5" s="1"/>
  <c r="K82" i="5"/>
  <c r="J82" i="5"/>
  <c r="K29" i="5"/>
  <c r="J29" i="5"/>
  <c r="D99" i="5"/>
  <c r="H99" i="5" s="1"/>
  <c r="K81" i="5"/>
  <c r="J81" i="5"/>
  <c r="K86" i="5"/>
  <c r="J86" i="5"/>
  <c r="B30" i="5"/>
  <c r="G30" i="5" s="1"/>
  <c r="H30" i="5" s="1"/>
  <c r="K31" i="5"/>
  <c r="J31" i="5"/>
  <c r="J36" i="5"/>
  <c r="K36" i="5"/>
  <c r="K74" i="5"/>
  <c r="J74" i="5"/>
  <c r="K67" i="5"/>
  <c r="J67" i="5"/>
  <c r="B48" i="4"/>
  <c r="B68" i="5" s="1"/>
  <c r="G68" i="5" s="1"/>
  <c r="H68" i="5" s="1"/>
  <c r="I49" i="4"/>
  <c r="B49" i="4" s="1"/>
  <c r="B69" i="5" s="1"/>
  <c r="G69" i="5" s="1"/>
  <c r="H69" i="5" s="1"/>
  <c r="B17" i="4"/>
  <c r="I18" i="4"/>
  <c r="B18" i="4" s="1"/>
  <c r="B38" i="5" s="1"/>
  <c r="G38" i="5" s="1"/>
  <c r="H38" i="5" s="1"/>
  <c r="J60" i="5" l="1"/>
  <c r="K60" i="5"/>
  <c r="B41" i="4"/>
  <c r="I42" i="4"/>
  <c r="B42" i="4" s="1"/>
  <c r="B62" i="5" s="1"/>
  <c r="G62" i="5" s="1"/>
  <c r="H62" i="5" s="1"/>
  <c r="J99" i="5"/>
  <c r="C8" i="6"/>
  <c r="E8" i="6" s="1"/>
  <c r="B88" i="5"/>
  <c r="G88" i="5" s="1"/>
  <c r="H88" i="5" s="1"/>
  <c r="C5" i="6"/>
  <c r="B37" i="5"/>
  <c r="G37" i="5" s="1"/>
  <c r="H37" i="5" s="1"/>
  <c r="C6" i="6"/>
  <c r="E6" i="6" s="1"/>
  <c r="K69" i="5"/>
  <c r="J69" i="5"/>
  <c r="C13" i="6"/>
  <c r="E13" i="6" s="1"/>
  <c r="K87" i="5"/>
  <c r="J87" i="5"/>
  <c r="C14" i="6"/>
  <c r="E14" i="6" s="1"/>
  <c r="K76" i="5"/>
  <c r="J76" i="5"/>
  <c r="K68" i="5"/>
  <c r="J68" i="5"/>
  <c r="C11" i="6"/>
  <c r="E11" i="6" s="1"/>
  <c r="K30" i="5"/>
  <c r="J30" i="5"/>
  <c r="K75" i="5"/>
  <c r="J75" i="5"/>
  <c r="K54" i="5"/>
  <c r="J54" i="5"/>
  <c r="K38" i="5"/>
  <c r="J38" i="5"/>
  <c r="K53" i="5"/>
  <c r="J53" i="5"/>
  <c r="K88" i="5" l="1"/>
  <c r="J88" i="5"/>
  <c r="K37" i="5"/>
  <c r="J37" i="5"/>
  <c r="C9" i="2"/>
  <c r="G8" i="6"/>
  <c r="H8" i="6" s="1"/>
  <c r="K62" i="5"/>
  <c r="J101" i="5" s="1"/>
  <c r="J62" i="5"/>
  <c r="E5" i="6"/>
  <c r="D100" i="5"/>
  <c r="H100" i="5" s="1"/>
  <c r="D101" i="5" s="1"/>
  <c r="H101" i="5" s="1"/>
  <c r="B61" i="5"/>
  <c r="G61" i="5" s="1"/>
  <c r="H61" i="5" s="1"/>
  <c r="C10" i="6"/>
  <c r="E10" i="6" s="1"/>
  <c r="C15" i="2"/>
  <c r="G14" i="6"/>
  <c r="H14" i="6" s="1"/>
  <c r="C14" i="2"/>
  <c r="G13" i="6"/>
  <c r="H13" i="6" s="1"/>
  <c r="C12" i="6"/>
  <c r="E12" i="6" s="1"/>
  <c r="C7" i="2"/>
  <c r="G6" i="6"/>
  <c r="H6" i="6" s="1"/>
  <c r="C12" i="2"/>
  <c r="G11" i="6"/>
  <c r="H11" i="6" s="1"/>
  <c r="C9" i="6"/>
  <c r="E9" i="6" s="1"/>
  <c r="C7" i="6"/>
  <c r="E7" i="6" s="1"/>
  <c r="C16" i="6" l="1"/>
  <c r="D12" i="2"/>
  <c r="I11" i="6"/>
  <c r="C13" i="2"/>
  <c r="G12" i="6"/>
  <c r="H12" i="6" s="1"/>
  <c r="D14" i="2"/>
  <c r="I13" i="6"/>
  <c r="D7" i="2"/>
  <c r="I6" i="6"/>
  <c r="C6" i="2"/>
  <c r="E16" i="6"/>
  <c r="C17" i="8" s="1"/>
  <c r="G5" i="6"/>
  <c r="D9" i="2"/>
  <c r="I8" i="6"/>
  <c r="D15" i="2"/>
  <c r="I14" i="6"/>
  <c r="C8" i="2"/>
  <c r="G7" i="6"/>
  <c r="H7" i="6" s="1"/>
  <c r="C11" i="2"/>
  <c r="G10" i="6"/>
  <c r="H10" i="6" s="1"/>
  <c r="C10" i="2"/>
  <c r="G9" i="6"/>
  <c r="H9" i="6" s="1"/>
  <c r="K61" i="5"/>
  <c r="J100" i="5" s="1"/>
  <c r="J106" i="5" s="1"/>
  <c r="J61" i="5"/>
  <c r="J13" i="6" l="1"/>
  <c r="F14" i="2" s="1"/>
  <c r="E14" i="2"/>
  <c r="J11" i="6"/>
  <c r="F12" i="2" s="1"/>
  <c r="E12" i="2"/>
  <c r="E7" i="2"/>
  <c r="J6" i="6"/>
  <c r="F7" i="2" s="1"/>
  <c r="D8" i="2"/>
  <c r="I7" i="6"/>
  <c r="E15" i="2"/>
  <c r="J14" i="6"/>
  <c r="F15" i="2" s="1"/>
  <c r="E9" i="2"/>
  <c r="J8" i="6"/>
  <c r="F9" i="2" s="1"/>
  <c r="D10" i="2"/>
  <c r="I9" i="6"/>
  <c r="D13" i="2"/>
  <c r="I12" i="6"/>
  <c r="D11" i="2"/>
  <c r="I10" i="6"/>
  <c r="G16" i="6"/>
  <c r="H5" i="6"/>
  <c r="J7" i="6" l="1"/>
  <c r="F8" i="2" s="1"/>
  <c r="E8" i="2"/>
  <c r="J9" i="6"/>
  <c r="F10" i="2" s="1"/>
  <c r="E10" i="2"/>
  <c r="D6" i="2"/>
  <c r="H16" i="6"/>
  <c r="C16" i="8" s="1"/>
  <c r="I5" i="6"/>
  <c r="E11" i="2"/>
  <c r="J10" i="6"/>
  <c r="F11" i="2" s="1"/>
  <c r="E13" i="2"/>
  <c r="J12" i="6"/>
  <c r="F13" i="2" s="1"/>
  <c r="I16" i="6" l="1"/>
  <c r="J5" i="6"/>
  <c r="E6" i="2"/>
  <c r="C17" i="2" s="1"/>
  <c r="C18" i="8"/>
  <c r="C22" i="8"/>
  <c r="D23" i="2" s="1"/>
  <c r="D21" i="2" l="1"/>
  <c r="C21" i="8"/>
  <c r="C28" i="8"/>
  <c r="J16" i="6"/>
  <c r="F6" i="2"/>
  <c r="D22" i="2" l="1"/>
  <c r="C23" i="8"/>
  <c r="D24" i="2" s="1"/>
  <c r="C29" i="8"/>
  <c r="C33" i="8"/>
  <c r="D27" i="2" s="1"/>
  <c r="D26" i="2"/>
</calcChain>
</file>

<file path=xl/sharedStrings.xml><?xml version="1.0" encoding="utf-8"?>
<sst xmlns="http://schemas.openxmlformats.org/spreadsheetml/2006/main" count="453" uniqueCount="258">
  <si>
    <t>SINGGAH COFFEE — PANDUAN EDIT, TAMBAH &amp; HAPUS MENU</t>
  </si>
  <si>
    <t>Baca ini dulu sebelum mengubah struktur menu. Kalau ragu, lebih aman minta bantuan AI/Claude untuk eksekusi ketimbang edit manual.</t>
  </si>
  <si>
    <t>✏️  A. EDIT MENU (ganti nama, resep, atau harga) — PALING MUDAH, LANGSUNG BISA</t>
  </si>
  <si>
    <t>1. Ganti NAMA menu  →  edit HANYA di sheet "HPP &amp; Harga Jual", kolom B (baris 5-14). Otomatis merambat ke semua sheet lain.</t>
  </si>
  <si>
    <t>2. Ganti/tambah/kurangi BAHAN dalam satu resep  →  sheet "Resep Menu", kolom D (Nama Bahan): klik sel, pilih dari dropdown ▼. Kolom Kode Bahan (C) otomatis ikut.</t>
  </si>
  <si>
    <t>3. Ganti TAKARAN bahan (gram/ml)  →  sheet "Resep Menu", kolom E (Qty/Cup) — ketik angka baru langsung.</t>
  </si>
  <si>
    <t>4. Ganti HARGA BELI bahan  →  sheet "Master Bahan Baku", kolom D (Harga Beli). Otomatis merambat ke semua HPP.</t>
  </si>
  <si>
    <t>5. Ganti target margin/food cost  →  sheet "HPP &amp; Harga Jual", kolom F (Target Food Cost %) per menu.</t>
  </si>
  <si>
    <t>➕  B. TAMBAH MENU BARU — ikuti urutan ini PERSIS</t>
  </si>
  <si>
    <t>Langkah 1 — sheet "HPP &amp; Harga Jual": sisipkan 1 baris baru sebelum baris RATA-RATA (baris 15 saat ini). Isi kolom A (nomor urut), B (nama menu), D (biaya operasional, contoh: 4000), F (target food cost, contoh: 0.8). Kolom C,E,G,H,I,J: COPY formula dari baris menu di atasnya (klik baris atasnya, Ctrl+C, lalu paste ke baris baru — jangan ketik ulang).</t>
  </si>
  <si>
    <t>Langkah 2 — sheet "Resep Menu": di baris PALING BAWAH data (setelah baris terakhir), tambahkan baris untuk tiap bahan resep menu baru. Kolom A: isi nomor urut menu (angka berikutnya). Kolom B,C,G,H: COPY formula dari baris menu lain (jangan ketik ulang — cukup copy-paste satu baris lalu isi D,E,F-nya). Kolom D: pilih bahan dari dropdown. Kolom I: copy formula forward-fill dari baris di atasnya.</t>
  </si>
  <si>
    <t>Langkah 3 — sheet "Kebutuhan Stok", Bagian A (baris 6-15): sisipkan 1 baris baru di akhir Bagian A (sebelum baris "Catatan"). Kolom A,B: COPY formula dari baris di atasnya lalu ganti nomor sumber (mis. 'HPP &amp; Harga Jual'!A15). Kolom G: isi target cup (sel biru).</t>
  </si>
  <si>
    <t>Langkah 4 — sheet "Kebutuhan Stok", Bagian B: tambahkan baris kebutuhan bahan untuk menu baru, letaknya menyatu dengan baris-baris bahan menu lain (rentang formula Bagian C sudah dilebarkan sampai baris 150, jadi AMAN ditambah tanpa mengubah rumus Bagian C). Kolom A-K: COPY formula dari baris bahan menu lain, sesuaikan nomor baris sumber Resep Menu-nya.</t>
  </si>
  <si>
    <t>⚠️ Kalau ragu di salah satu langkah — screenshot / upload file ke Claude dan minta tolong tambahkan menunya. Jauh lebih aman daripada salah geser rumus.</t>
  </si>
  <si>
    <t>🗑️  C. HAPUS MENU — cara AMAN (disarankan): "kosongkan", jangan hapus baris</t>
  </si>
  <si>
    <t>Cara paling aman TANPA merusak rumus: di sheet "HPP &amp; Harga Jual", kosongkan isi kolom B (Nama Menu) menu yang mau dihapus (biarkan baris &amp; formula lain tetap ada). Menu otomatis "hilang" dari semua perhitungan (nama kosong, HPP tetap terhitung tapi tidak masuk kemanapun) TANPA merusak satu pun rumus di sheet lain.</t>
  </si>
  <si>
    <t>Alternatif: di sheet "Kebutuhan Stok" Bagian A, set "Target Jumlah Cup" menu itu jadi 0 — menu tetap tampil di daftar tapi tidak dihitung kebutuhan bahan/biayanya sama sekali.</t>
  </si>
  <si>
    <t>❌ JANGAN hapus baris (klik kanan &gt; Delete Row) di sheet "Resep Menu" atau "HPP &amp; Harga Jual" secara manual — ini akan MERUSAK rumus SUMIF/INDEX-MATCH di baris-baris lain karena referensi baris tidak otomatis menyesuaikan. Kalau memang mau menghapus baris secara fisik (bukan cuma dikosongkan), minta bantuan Claude untuk eksekusi.</t>
  </si>
  <si>
    <t>ℹ️  D. Kenapa sebagian rumus sekarang lebih "kebal"</t>
  </si>
  <si>
    <t>Rumus pencarian bahan (Resep Menu ↔ Master Bahan Baku) dan pencarian nama menu (Resep Menu ↔ HPP &amp; Harga Jual) sekarang pakai referensi SATU KOLOM PENUH (bukan rentang baris tertentu). Artinya: tambah/kurangi BAHAN di Master Bahan Baku, atau tambah/kurangi MENU di HPP &amp; Harga Jual, tidak akan pernah bikin rumus-rumus ini error — tidak perlu edit apapun.</t>
  </si>
  <si>
    <t>Yang MASIH perlu langkah manual (Bagian B di atas): menambah BARIS BARU itu sendiri (baris menu baru di HPP&amp;HargaJual, baris resep baru di Resep Menu, baris target cup baru di Kebutuhan Stok) — karena ini soal STRUKTUR baris, bukan soal rentang rumus.</t>
  </si>
  <si>
    <t>SINGGAH COFFEE — RINGKASAN BISNIS</t>
  </si>
  <si>
    <t>Dashboard ringkas: HPP, harga jual, margin tiap menu, dan status Break Even Point.</t>
  </si>
  <si>
    <t>A. RINGKASAN HPP &amp; HARGA JUAL PER MENU</t>
  </si>
  <si>
    <t>No</t>
  </si>
  <si>
    <t>Nama Menu</t>
  </si>
  <si>
    <t>Total HPP (Rp)</t>
  </si>
  <si>
    <t>Harga Jual (Rp)</t>
  </si>
  <si>
    <t>Margin/Cup (Rp)</t>
  </si>
  <si>
    <t>Margin %</t>
  </si>
  <si>
    <t>Menu dengan Margin Rp Tertinggi</t>
  </si>
  <si>
    <t>B. RINGKASAN BEP (BREAK EVEN POINT)</t>
  </si>
  <si>
    <t>Total Biaya Tetap / Bulan</t>
  </si>
  <si>
    <t>Rata-rata Margin Kontribusi / Cup</t>
  </si>
  <si>
    <t>BEP (Cup) per Bulan</t>
  </si>
  <si>
    <t>BEP (Rupiah) per Bulan</t>
  </si>
  <si>
    <t>BEP (Cup) per Hari</t>
  </si>
  <si>
    <t>Estimasi Penjualan per Bulan (asumsi)</t>
  </si>
  <si>
    <t>Proyeksi Laba Bersih / Bulan</t>
  </si>
  <si>
    <t>Estimasi Balik Modal</t>
  </si>
  <si>
    <t>SINGGAH COFFEE — MASTER HARGA BAHAN BAKU</t>
  </si>
  <si>
    <t>Sumber acuan harga: Otten Coffee, Majoo, Ginee, KoinWorks (riset pasar Jul 2026). Sel biru = boleh diedit sesuai harga supplier Anda.</t>
  </si>
  <si>
    <t>Kode</t>
  </si>
  <si>
    <t>Nama Bahan</t>
  </si>
  <si>
    <t>Kategori</t>
  </si>
  <si>
    <t>Harga Beli (Rp)</t>
  </si>
  <si>
    <t>Satuan Beli</t>
  </si>
  <si>
    <t>Isi per Satuan Beli</t>
  </si>
  <si>
    <t>Satuan Kecil</t>
  </si>
  <si>
    <t>Harga per Satuan Kecil (Rp)</t>
  </si>
  <si>
    <t>B01</t>
  </si>
  <si>
    <t>Kopi Robusta Bubuk/Biji</t>
  </si>
  <si>
    <t>Kopi</t>
  </si>
  <si>
    <t>kg</t>
  </si>
  <si>
    <t>gram</t>
  </si>
  <si>
    <t>B02</t>
  </si>
  <si>
    <t>Kopi Blend Bubuk/Biji</t>
  </si>
  <si>
    <t>B03</t>
  </si>
  <si>
    <t>Susu Full Cream UHT</t>
  </si>
  <si>
    <t>Susu</t>
  </si>
  <si>
    <t>liter</t>
  </si>
  <si>
    <t>ml</t>
  </si>
  <si>
    <t>B05</t>
  </si>
  <si>
    <t>Gula Aren Cair (Palm Sugar Syrup)</t>
  </si>
  <si>
    <t>Pemanis</t>
  </si>
  <si>
    <t>B06</t>
  </si>
  <si>
    <t>Gula Cair (Simple Syrup)</t>
  </si>
  <si>
    <t>B08</t>
  </si>
  <si>
    <t>Garam Laut (Sea Salt)</t>
  </si>
  <si>
    <t>Topping</t>
  </si>
  <si>
    <t>B09</t>
  </si>
  <si>
    <t>Bubuk Matcha</t>
  </si>
  <si>
    <t>Bubuk Rasa</t>
  </si>
  <si>
    <t>B13</t>
  </si>
  <si>
    <t>Es Batu</t>
  </si>
  <si>
    <t>Es</t>
  </si>
  <si>
    <t>B14</t>
  </si>
  <si>
    <t>Cup Plastik 12oz + Tutup</t>
  </si>
  <si>
    <t>Kemasan</t>
  </si>
  <si>
    <t>pcs</t>
  </si>
  <si>
    <t>B16</t>
  </si>
  <si>
    <t>Sedotan</t>
  </si>
  <si>
    <t>B18</t>
  </si>
  <si>
    <t>Sirup Butterscotch</t>
  </si>
  <si>
    <t>B20</t>
  </si>
  <si>
    <t>Krimer Bubuk</t>
  </si>
  <si>
    <t>B22</t>
  </si>
  <si>
    <t>Susu Oat (Oatside Barista Blend)</t>
  </si>
  <si>
    <t>B23</t>
  </si>
  <si>
    <t>Susu Kental Manis (SKM)</t>
  </si>
  <si>
    <t>Catatan:</t>
  </si>
  <si>
    <t>- Sel berwarna kuning/biru (Harga Beli, Isi per Satuan Beli) adalah asumsi riset pasar per Jul 2026 — silakan sesuaikan dengan harga supplier riil Anda.</t>
  </si>
  <si>
    <t>- Harga per Satuan Kecil dihitung otomatis dan menjadi acuan seluruh perhitungan resep di sheet 'Resep Menu'.</t>
  </si>
  <si>
    <t>SINGGAH COFFEE — RESEP &amp; TAKARAN MENU</t>
  </si>
  <si>
    <t>10 menu terpilih berdasarkan riset tren coffee shop 2026 (kopi susu, espresso based, non-coffee, teh, manual brew).</t>
  </si>
  <si>
    <t>Kode Bahan</t>
  </si>
  <si>
    <t>Qty per Cup</t>
  </si>
  <si>
    <t>Satuan</t>
  </si>
  <si>
    <t>Subtotal Biaya (Rp)</t>
  </si>
  <si>
    <t>No Menu (helper)</t>
  </si>
  <si>
    <t>SINGGAH COFFEE — KEBUTUHAN STOK BAHAN BAKU (BERDASARKAN TARGET CUP)</t>
  </si>
  <si>
    <t>Atur "Target Jumlah Cup" (sel biru, bagian A) untuk tiap menu. Kebutuhan bahan baku per menu (bagian B), total belanja (bagian C), dan rata-rata cup/hari untuk BEP terhitung otomatis.</t>
  </si>
  <si>
    <t>A. TARGET PRODUKSI PER MENU (EDIT SEL BIRU "Target Jumlah Cup")</t>
  </si>
  <si>
    <t>Catatan: kolom "Nama Menu" &amp; "No" mengikuti sheet 'HPP &amp; Harga Jual' secara otomatis — jangan diedit manual di sini.</t>
  </si>
  <si>
    <t>RINGKASAN TARGET PRODUKSI HARIAN — SUMBER TUNGGAL UNTUK SHEET BEP</t>
  </si>
  <si>
    <t>Total Target Cup (Semua Menu, dari Bagian A)</t>
  </si>
  <si>
    <t>cup</t>
  </si>
  <si>
    <t>Estimasi Periode Penjualan/Stok Habis (Hari) — EDIT SEL BIRU</t>
  </si>
  <si>
    <t>hari (mis. 30 = target habis dalam 1 bulan)</t>
  </si>
  <si>
    <t>Rata-rata Cup Terjual per Hari  -&gt;  dipakai otomatis di sheet BEP</t>
  </si>
  <si>
    <t>cup/hari</t>
  </si>
  <si>
    <t>B. DETAIL KEBUTUHAN BAHAN PER MENU (OTOMATIS DARI SHEET 'RESEP MENU' x TARGET CUP)</t>
  </si>
  <si>
    <t>Qty/Cup</t>
  </si>
  <si>
    <t>Target Cup</t>
  </si>
  <si>
    <t>Total Kebutuhan</t>
  </si>
  <si>
    <t>Kebutuhan (Satuan Beli)</t>
  </si>
  <si>
    <t>Estimasi Biaya (Rp)</t>
  </si>
  <si>
    <t>C. RINGKASAN TOTAL BELANJA BAHAN BAKU (SEMUA MENU DIGABUNG)</t>
  </si>
  <si>
    <t>Isi/Satuan Beli</t>
  </si>
  <si>
    <t>Belanja (Satuan Beli, dibulatkan ke atas)</t>
  </si>
  <si>
    <t>TOTAL ESTIMASI BIAYA BELANJA BAHAN BAKU (SEMUA MENU, SESUAI TARGET CUP)</t>
  </si>
  <si>
    <t>- Bagian A: ubah "Target Jumlah Cup" (sel biru) untuk simulasi kebutuhan stok sesuai rencana produksi Anda.</t>
  </si>
  <si>
    <t>- "Ringkasan Target Produksi Harian": Total Target Cup (semua menu) dibagi "Periode Hari" (sel biru) = rata-rata cup/hari, dipakai otomatis di sheet BEP (sel C26).</t>
  </si>
  <si>
    <t>- Bagian B menampilkan rincian bahan per menu (ambil otomatis dari sheet 'Resep Menu'), dikalikan Target Cup dari Bagian A.</t>
  </si>
  <si>
    <t>- Bagian C menjumlahkan seluruh kebutuhan bahan yang sama dari semua menu (SUMIF), lalu dikonversi ke satuan beli (kg/liter/pcs) memakai "Isi per Satuan Beli" dari sheet 'Master Bahan Baku'.</t>
  </si>
  <si>
    <t>- Kolom "Belanja (Satuan Beli)" dibulatkan ke atas (ROUNDUP) agar aman untuk belanja — tidak kekurangan stok.</t>
  </si>
  <si>
    <t>- Master Bahan Baku: 14 bahan aktif dipakai 10 menu terpilih (SKM dipakai di 3 resep: Kopsu Original, Kopsu Singgah, Oatside Signature).</t>
  </si>
  <si>
    <t>SINGGAH COFFEE — HPP &amp; HARGA JUAL</t>
  </si>
  <si>
    <t>Food cost dihitung otomatis dari sheet 'Resep Menu'. Sel biru (Biaya Operasional/Cup &amp; Target Food Cost %) boleh disesuaikan.</t>
  </si>
  <si>
    <t>Biaya Bahan Baku/Food Cost (Rp)</t>
  </si>
  <si>
    <t>Biaya Operasional per Cup (Rp)</t>
  </si>
  <si>
    <t>Target Food Cost %</t>
  </si>
  <si>
    <t>Harga Jual Disarankan (Rp)</t>
  </si>
  <si>
    <t>Harga Jual Dibulatkan (Rp)</t>
  </si>
  <si>
    <t>Margin per Cup (Rp)</t>
  </si>
  <si>
    <t>Kopsu Gula Aren</t>
  </si>
  <si>
    <t>Kopsu Original</t>
  </si>
  <si>
    <t>Americano (Es)</t>
  </si>
  <si>
    <t>Cappuccino (Panas)</t>
  </si>
  <si>
    <t>Matcha</t>
  </si>
  <si>
    <t>Kopsu Singgah Aren</t>
  </si>
  <si>
    <t>Butterscotch Latte</t>
  </si>
  <si>
    <t>Kopsu Singgah</t>
  </si>
  <si>
    <t>Oatside Signature</t>
  </si>
  <si>
    <t>Oatside Signature Gula Aren</t>
  </si>
  <si>
    <t>RATA-RATA</t>
  </si>
  <si>
    <t>- Biaya Operasional per Cup (listrik, gas, air, penyusutan alat) adalah alokasi rata-rata Rp4.000 — sesuaikan dengan struktur biaya toko Anda.</t>
  </si>
  <si>
    <t>- PERHATIAN: Target Food Cost saat ini 80% (F kolom) -&gt; margin hanya ~20%. Standar sehat industri F&amp;B adalah food cost 30-40% (margin 60-70%). Pertimbangkan menaikkan harga jual atau menurunkan HPP agar margin lebih sehat.</t>
  </si>
  <si>
    <t>SINGGAH COFFEE — BENCHMARK KOMPETITOR</t>
  </si>
  <si>
    <t>Riset menu &amp; harga Kopi Kenangan dan Point Coffee (sumber: web publik, per Jul 2026) sebagai acuan positioning harga Singgah Coffee.</t>
  </si>
  <si>
    <t>A. KOPI KENANGAN — MENU SIGNATURE &amp; HARGA</t>
  </si>
  <si>
    <t>Deskripsi Singkat</t>
  </si>
  <si>
    <t>Kisaran Harga (Rp)</t>
  </si>
  <si>
    <t>Catatan</t>
  </si>
  <si>
    <t>Kopi Kenangan Mantan</t>
  </si>
  <si>
    <t>Espresso + susu segar + gula aren asli, signature/best seller sejak awal berdiri</t>
  </si>
  <si>
    <t>18.000 - 25.000</t>
  </si>
  <si>
    <t>Menu paling ikonik &amp; paling sering direkomendasikan ke pelanggan baru</t>
  </si>
  <si>
    <t>Kopi Kenangan Mantan Less Sugar</t>
  </si>
  <si>
    <t>Versi gula lebih sedikit dari Mantan, makin populer karena tren less-sugar</t>
  </si>
  <si>
    <t>Naik daun seiring kesadaran konsumsi gula</t>
  </si>
  <si>
    <t>Cloud Caramel Macchiato</t>
  </si>
  <si>
    <t>Espresso + susu + saus salted caramel, versi 'cloud' pakai cloud foam lembut</t>
  </si>
  <si>
    <t>25.000 - 34.000</t>
  </si>
  <si>
    <t>Tersedia panas &amp; dingin</t>
  </si>
  <si>
    <t>Creamy Aren Latte</t>
  </si>
  <si>
    <t>Latte gula aren dengan tekstur lebih creamy</t>
  </si>
  <si>
    <t>22.000 - 28.000</t>
  </si>
  <si>
    <t>Salah satu menu populer tetap</t>
  </si>
  <si>
    <t>Kopi Oreo Latte</t>
  </si>
  <si>
    <t>Kopi susu + remahan biskuit Oreo</t>
  </si>
  <si>
    <t>30.000 - 34.000</t>
  </si>
  <si>
    <t>Segmen non-purist coffee drinker</t>
  </si>
  <si>
    <t>Oatside Series (oat milk)</t>
  </si>
  <si>
    <t>Varian susu oat non-dairy untuk kopi &amp; matcha</t>
  </si>
  <si>
    <t>25.000 - 32.000</t>
  </si>
  <si>
    <t>Menyasar pasar plant-based/intoleransi laktosa</t>
  </si>
  <si>
    <t>Thai Green Tea</t>
  </si>
  <si>
    <t>Minuman non-kopi berbasis teh Thailand</t>
  </si>
  <si>
    <t>18.000 - 22.000</t>
  </si>
  <si>
    <t>Opsi untuk pelanggan non-kopi</t>
  </si>
  <si>
    <t>Signature Bake (pastry)</t>
  </si>
  <si>
    <t>Kolaborasi dengan Chef Martin Praja - pastry &amp; roti premium</t>
  </si>
  <si>
    <t>15.000 - 25.000</t>
  </si>
  <si>
    <t>Pendamping/pairing minuman</t>
  </si>
  <si>
    <t>B. POINT COFFEE — MENU SIGNATURE &amp; HARGA</t>
  </si>
  <si>
    <t>Iced Palm Sugar Latte</t>
  </si>
  <si>
    <t>Espresso + susu + gula aren, menu paling populer &amp; sering dipromokan</t>
  </si>
  <si>
    <t>20.000 - 25.000</t>
  </si>
  <si>
    <t>Sering jadi bahan promo (mis. Rp1 via voucher)</t>
  </si>
  <si>
    <t>Himalayan Butterscotch</t>
  </si>
  <si>
    <t>Espresso + susu + sirup butterscotch, rasa manis-gurih khas</t>
  </si>
  <si>
    <t>Salah satu racikan andalan/unik</t>
  </si>
  <si>
    <t>Caramel Macchiato</t>
  </si>
  <si>
    <t>Espresso + susu steamed + saus karamel</t>
  </si>
  <si>
    <t>Tersedia panas/dingin</t>
  </si>
  <si>
    <t>Iced Shaken Creamy Latte</t>
  </si>
  <si>
    <t>Kopi susu dikocok (shaken) dengan bahan signature, creamy &amp; legit</t>
  </si>
  <si>
    <t>Cocok untuk yang tidak suka kopi pahit</t>
  </si>
  <si>
    <t>Hot Cappuccino</t>
  </si>
  <si>
    <t>Double shot espresso + susu steam berlapis foam tanpa gula</t>
  </si>
  <si>
    <t>12.000 - 25.000</t>
  </si>
  <si>
    <t>Disukai juga oleh non-penikmat kopi</t>
  </si>
  <si>
    <t>Almond Latte</t>
  </si>
  <si>
    <t>Latte dengan sirup almond, aroma khas &amp; gurih manis</t>
  </si>
  <si>
    <t>Harga di kisaran Rp25.000</t>
  </si>
  <si>
    <t>Signature Chocolate / Matcha</t>
  </si>
  <si>
    <t>Minuman non-kopi andalan, tersedia panas/dingin</t>
  </si>
  <si>
    <t>Menyasar pelanggan non-kopi</t>
  </si>
  <si>
    <t>Frappe Series</t>
  </si>
  <si>
    <t>Minuman blended kekinian, harga tertinggi di line up</t>
  </si>
  <si>
    <t>25.000 - 30.000</t>
  </si>
  <si>
    <t>Segmen premium/dessert drink</t>
  </si>
  <si>
    <t>C. INSIGHT UNTUK POSITIONING SINGGAH COFFEE</t>
  </si>
  <si>
    <t>- Rentang harga kedua brand nasional ini ada di Rp18.000-30.000/cup untuk menu reguler — Singgah Coffee di kisaran Rp9.000-22.000 (lihat sheet 'HPP &amp; Harga Jual') masih di bawah rentang kompetitor, ada ruang untuk menaikkan harga.</t>
  </si>
  <si>
    <t>- Kopi susu gula aren (palm sugar latte) adalah pola resep yang konsisten dipakai kedua brand sebagai signature — sudah diakomodasi lewat menu 'Es Kopi Susu Gula Aren' dan versi premium 'Singgah Latte Gula Aren Susu Segar'.</t>
  </si>
  <si>
    <t>- 3 menu baru (Kopsu Singgah Aren, Butterscotch Latte, Kopsu Singgah) ditambahkan ke sheet 'Resep Menu' &amp; 'HPP &amp; Harga Jual' — resep dibuat versi 'terinspirasi', bukan reproduksi resep berhak cipta milik brand tersebut.</t>
  </si>
  <si>
    <t>- Kedua brand rutin bundling promo (mis. beli 2-3 cup harga spesial) — pertimbangkan strategi serupa untuk Singgah Coffee guna mendorong volume penjualan menuju BEP.</t>
  </si>
  <si>
    <t>SINGGAH COFFEE — BREAK EVEN POINT (BEP)</t>
  </si>
  <si>
    <t>Asumsi biaya tetap &amp; operasional bulanan. Semua sel biru boleh disesuaikan dengan kondisi usaha Anda.</t>
  </si>
  <si>
    <t>A. BIAYA TETAP BULANAN (FIXED COST)</t>
  </si>
  <si>
    <t>Komponen Biaya</t>
  </si>
  <si>
    <t>Nominal per Bulan (Rp)</t>
  </si>
  <si>
    <t>Keterangan</t>
  </si>
  <si>
    <t>Retribusi/Parkir Lokasi Jualan</t>
  </si>
  <si>
    <t>Estimasi Rp20.000/hari x 30 hari — sesuaikan dgn lokasi mangkal Anda</t>
  </si>
  <si>
    <t>Gaji/Upah Pemilik-Operator (diri sendiri)</t>
  </si>
  <si>
    <t>Upah kerja sendiri sebagai barista solo — WAJIB dihitung agar tidak "gratis kerja"</t>
  </si>
  <si>
    <t>BBM (Bensin) Mobil Kijang</t>
  </si>
  <si>
    <t>Estimasi mobilitas harian ke lokasi jualan</t>
  </si>
  <si>
    <t>Gas LPG + Listrik/Charge Alat</t>
  </si>
  <si>
    <t>Kompor/pemanas air, charge alat elektronik</t>
  </si>
  <si>
    <t>Penyusutan Peralatan &amp; Kendaraan</t>
  </si>
  <si>
    <t>Mesin espresso portable, grinder, modifikasi mobil (disusutkan bulanan)</t>
  </si>
  <si>
    <t>Perawatan &amp; Servis Kendaraan</t>
  </si>
  <si>
    <t>Servis rutin, ganti oli, dll</t>
  </si>
  <si>
    <t>Lain-lain / Tak Terduga (marketing, internet, dll)</t>
  </si>
  <si>
    <t>Media sosial, POS, kuota internet, dan tak terduga</t>
  </si>
  <si>
    <t>TOTAL BIAYA TETAP / BULAN</t>
  </si>
  <si>
    <t>B. RATA-RATA HARGA JUAL &amp; BIAYA VARIABEL (dari sheet HPP &amp; Harga Jual)</t>
  </si>
  <si>
    <t>Rata-rata Harga Jual per Cup</t>
  </si>
  <si>
    <t>Rata-rata Biaya Variabel (HPP) per Cup</t>
  </si>
  <si>
    <t>Margin Kontribusi per Cup</t>
  </si>
  <si>
    <t>C. PERHITUNGAN BREAK EVEN POINT (BEP)</t>
  </si>
  <si>
    <t>BEP (Cup) per Bulan  =  Biaya Tetap / Margin Kontribusi per Cup</t>
  </si>
  <si>
    <t>BEP (Rupiah) per Bulan  =  Biaya Tetap / (1 - Biaya Variabel/Harga Jual)</t>
  </si>
  <si>
    <t>BEP (Cup) per Hari (asumsi 30 hari operasional/bulan)</t>
  </si>
  <si>
    <t>D. PROYEKSI PENJUALAN &amp; LABA</t>
  </si>
  <si>
    <t>Estimasi Penjualan per Hari (cup)</t>
  </si>
  <si>
    <t>Otomatis dari 'Kebutuhan Stok' (Total Target Cup / Periode Hari)</t>
  </si>
  <si>
    <t>Estimasi Penjualan per Bulan (30 hari)</t>
  </si>
  <si>
    <t>Proyeksi Laba Bersih per Bulan  =  (Cup Terjual x Margin Kontribusi) - Biaya Tetap</t>
  </si>
  <si>
    <t>Status terhadap BEP</t>
  </si>
  <si>
    <t>E. ESTIMASI BALIK MODAL (PAYBACK PERIOD)</t>
  </si>
  <si>
    <t>Modal Awal Usaha (peralatan, renovasi, interior, dll)</t>
  </si>
  <si>
    <t>Estimasi Balik Modal (bulan)  =  Modal Awal / Proyeksi Laba Bersih per Bulan</t>
  </si>
  <si>
    <t>- Seluruh nominal biaya tetap, estimasi penjualan, dan modal awal adalah ASUMSI riset pasar (skala kedai kecil-menengah) — wajib disesuaikan dengan kondisi riil Singgah Coffee.</t>
  </si>
  <si>
    <t>- Rumus BEP mengikuti metode standar (Mekari Jurnal, KoinWorks): BEP unit = Biaya Tetap / Margin Kontribusi; BEP rupiah = Biaya Tetap / (1 - Biaya Variabel/Harga Jual).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</si>
</sst>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p&quot;#,##0"/>
    <numFmt numFmtId="165" formatCode="0.0%"/>
    <numFmt numFmtId="166" formatCode="#,##0&quot; cup&quot;"/>
    <numFmt numFmtId="167" formatCode="0.0&quot; bulan&quot;"/>
    <numFmt numFmtId="168" formatCode="&quot;Rp&quot;#,##0.00"/>
  </numFmts>
  <fonts count="22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i/>
      <sz val="9"/>
      <color rgb="FF666666"/>
      <name val="Arial"/>
      <family val="2"/>
    </font>
    <font>
      <b/>
      <sz val="16"/>
      <color rgb="FFFFFFFF"/>
      <name val="Arial"/>
      <family val="2"/>
      <charset val="1"/>
    </font>
    <font>
      <i/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3B2415"/>
      <name val="Arial"/>
      <family val="2"/>
      <charset val="1"/>
    </font>
    <font>
      <sz val="10"/>
      <color rgb="FF0000FF"/>
      <name val="Arial"/>
      <family val="2"/>
      <charset val="1"/>
    </font>
    <font>
      <i/>
      <sz val="9"/>
      <name val="Arial"/>
      <family val="2"/>
      <charset val="1"/>
    </font>
    <font>
      <b/>
      <sz val="9"/>
      <color rgb="FF999999"/>
      <name val="Arial"/>
      <family val="2"/>
      <charset val="1"/>
    </font>
    <font>
      <b/>
      <sz val="10"/>
      <name val="Arial"/>
      <family val="2"/>
      <charset val="1"/>
    </font>
    <font>
      <i/>
      <sz val="8"/>
      <color rgb="FF999999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0000FF"/>
      <name val="Arial"/>
      <family val="2"/>
      <charset val="1"/>
    </font>
    <font>
      <i/>
      <sz val="9"/>
      <color rgb="FF666666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3B2415"/>
      <name val="Arial"/>
      <family val="2"/>
      <charset val="1"/>
    </font>
    <font>
      <sz val="9.5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3B2415"/>
        <bgColor rgb="FF333333"/>
      </patternFill>
    </fill>
    <fill>
      <patternFill patternType="solid">
        <fgColor rgb="FFC8932A"/>
        <bgColor rgb="FFFF8080"/>
      </patternFill>
    </fill>
    <fill>
      <patternFill patternType="solid">
        <fgColor rgb="FFE2F0D9"/>
        <bgColor rgb="FFFBF3E3"/>
      </patternFill>
    </fill>
    <fill>
      <patternFill patternType="solid">
        <fgColor rgb="FFFFF2CC"/>
        <bgColor rgb="FFFBF3E3"/>
      </patternFill>
    </fill>
    <fill>
      <patternFill patternType="solid">
        <fgColor rgb="FFFCE4E4"/>
        <bgColor rgb="FFFBF3E3"/>
      </patternFill>
    </fill>
    <fill>
      <patternFill patternType="solid">
        <fgColor rgb="FFFBF3E3"/>
        <bgColor rgb="FFF5F5F5"/>
      </patternFill>
    </fill>
    <fill>
      <patternFill patternType="solid">
        <fgColor rgb="FFFFFDE7"/>
        <bgColor rgb="FFFFFFFF"/>
      </patternFill>
    </fill>
    <fill>
      <patternFill patternType="solid">
        <fgColor rgb="FFF5F5F5"/>
        <bgColor rgb="FFFBF3E3"/>
      </patternFill>
    </fill>
    <fill>
      <patternFill patternType="solid">
        <fgColor rgb="FFF3E1BE"/>
        <bgColor rgb="FFFCE4E4"/>
      </patternFill>
    </fill>
    <fill>
      <patternFill patternType="solid">
        <fgColor theme="0"/>
        <bgColor rgb="FFFFFDE7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 applyProtection="1"/>
    <xf numFmtId="0" fontId="1" fillId="2" borderId="0" xfId="0" applyFont="1" applyFill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left" vertical="center" wrapText="1"/>
    </xf>
    <xf numFmtId="0" fontId="3" fillId="3" borderId="0" xfId="0" applyFont="1" applyFill="1" applyAlignment="1" applyProtection="1">
      <alignment horizontal="left" vertical="center" wrapText="1"/>
    </xf>
    <xf numFmtId="0" fontId="4" fillId="4" borderId="0" xfId="0" applyFont="1" applyFill="1" applyAlignment="1" applyProtection="1">
      <alignment horizontal="left" vertical="center" wrapText="1"/>
    </xf>
    <xf numFmtId="0" fontId="4" fillId="5" borderId="0" xfId="0" applyFont="1" applyFill="1" applyAlignment="1" applyProtection="1">
      <alignment horizontal="left" vertical="center" wrapText="1"/>
    </xf>
    <xf numFmtId="0" fontId="5" fillId="0" borderId="0" xfId="0" applyFont="1" applyAlignment="1" applyProtection="1">
      <alignment horizontal="left" vertical="center" wrapText="1"/>
    </xf>
    <xf numFmtId="0" fontId="4" fillId="6" borderId="0" xfId="0" applyFont="1" applyFill="1" applyAlignment="1" applyProtection="1">
      <alignment horizontal="left" vertical="center" wrapText="1"/>
    </xf>
    <xf numFmtId="0" fontId="4" fillId="0" borderId="0" xfId="0" applyFont="1" applyAlignment="1" applyProtection="1">
      <alignment horizontal="left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9" fillId="7" borderId="1" xfId="0" applyFont="1" applyFill="1" applyBorder="1" applyAlignment="1" applyProtection="1">
      <alignment horizontal="center" vertical="center"/>
    </xf>
    <xf numFmtId="0" fontId="10" fillId="7" borderId="1" xfId="0" applyFont="1" applyFill="1" applyBorder="1" applyAlignment="1" applyProtection="1">
      <alignment horizontal="left" vertical="center"/>
    </xf>
    <xf numFmtId="164" fontId="9" fillId="7" borderId="1" xfId="0" applyNumberFormat="1" applyFont="1" applyFill="1" applyBorder="1" applyAlignment="1" applyProtection="1">
      <alignment horizontal="right" vertical="center"/>
    </xf>
    <xf numFmtId="165" fontId="9" fillId="7" borderId="1" xfId="0" applyNumberFormat="1" applyFont="1" applyFill="1" applyBorder="1" applyAlignment="1" applyProtection="1">
      <alignment horizontal="right" vertical="center"/>
    </xf>
    <xf numFmtId="0" fontId="9" fillId="0" borderId="1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left" vertical="center"/>
    </xf>
    <xf numFmtId="164" fontId="9" fillId="0" borderId="1" xfId="0" applyNumberFormat="1" applyFont="1" applyBorder="1" applyAlignment="1" applyProtection="1">
      <alignment horizontal="right" vertical="center"/>
    </xf>
    <xf numFmtId="165" fontId="9" fillId="0" borderId="1" xfId="0" applyNumberFormat="1" applyFont="1" applyBorder="1" applyAlignment="1" applyProtection="1">
      <alignment horizontal="right" vertical="center"/>
    </xf>
    <xf numFmtId="0" fontId="10" fillId="3" borderId="1" xfId="0" applyFont="1" applyFill="1" applyBorder="1" applyAlignment="1" applyProtection="1">
      <alignment horizontal="left" vertical="center"/>
    </xf>
    <xf numFmtId="0" fontId="9" fillId="7" borderId="1" xfId="0" applyFont="1" applyFill="1" applyBorder="1" applyAlignment="1" applyProtection="1">
      <alignment horizontal="left" vertical="center"/>
    </xf>
    <xf numFmtId="164" fontId="11" fillId="8" borderId="1" xfId="0" applyNumberFormat="1" applyFont="1" applyFill="1" applyBorder="1" applyAlignment="1" applyProtection="1">
      <alignment horizontal="right" vertical="center"/>
    </xf>
    <xf numFmtId="0" fontId="11" fillId="8" borderId="1" xfId="0" applyFont="1" applyFill="1" applyBorder="1" applyAlignment="1" applyProtection="1">
      <alignment horizontal="right" vertical="center"/>
    </xf>
    <xf numFmtId="0" fontId="9" fillId="0" borderId="1" xfId="0" applyFont="1" applyBorder="1" applyAlignment="1" applyProtection="1">
      <alignment horizontal="left" vertical="center"/>
    </xf>
    <xf numFmtId="0" fontId="9" fillId="7" borderId="0" xfId="0" applyFont="1" applyFill="1" applyAlignment="1" applyProtection="1">
      <alignment horizontal="left" vertical="center"/>
    </xf>
    <xf numFmtId="0" fontId="9" fillId="7" borderId="0" xfId="0" applyFont="1" applyFill="1" applyAlignment="1" applyProtection="1">
      <alignment horizontal="center" vertical="center"/>
    </xf>
    <xf numFmtId="0" fontId="10" fillId="0" borderId="0" xfId="0" applyFont="1" applyAlignment="1" applyProtection="1"/>
    <xf numFmtId="0" fontId="12" fillId="0" borderId="0" xfId="0" applyFont="1" applyAlignment="1" applyProtection="1"/>
    <xf numFmtId="0" fontId="13" fillId="9" borderId="0" xfId="0" applyFont="1" applyFill="1" applyAlignment="1" applyProtection="1"/>
    <xf numFmtId="168" fontId="9" fillId="0" borderId="1" xfId="0" applyNumberFormat="1" applyFont="1" applyBorder="1" applyAlignment="1" applyProtection="1">
      <alignment horizontal="right" vertical="center"/>
    </xf>
    <xf numFmtId="164" fontId="14" fillId="0" borderId="1" xfId="0" applyNumberFormat="1" applyFont="1" applyBorder="1" applyAlignment="1" applyProtection="1">
      <alignment horizontal="right" vertical="center"/>
    </xf>
    <xf numFmtId="0" fontId="15" fillId="9" borderId="0" xfId="0" applyFont="1" applyFill="1" applyAlignment="1" applyProtection="1"/>
    <xf numFmtId="164" fontId="0" fillId="0" borderId="0" xfId="0" applyNumberFormat="1" applyAlignment="1" applyProtection="1"/>
    <xf numFmtId="168" fontId="9" fillId="7" borderId="1" xfId="0" applyNumberFormat="1" applyFont="1" applyFill="1" applyBorder="1" applyAlignment="1" applyProtection="1">
      <alignment horizontal="right" vertical="center"/>
    </xf>
    <xf numFmtId="164" fontId="14" fillId="7" borderId="1" xfId="0" applyNumberFormat="1" applyFont="1" applyFill="1" applyBorder="1" applyAlignment="1" applyProtection="1">
      <alignment horizontal="right" vertical="center"/>
    </xf>
    <xf numFmtId="3" fontId="9" fillId="0" borderId="1" xfId="0" applyNumberFormat="1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left" vertical="center" wrapText="1"/>
    </xf>
    <xf numFmtId="3" fontId="17" fillId="8" borderId="1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 applyProtection="1"/>
    <xf numFmtId="0" fontId="9" fillId="0" borderId="1" xfId="0" applyFont="1" applyBorder="1" applyAlignment="1" applyProtection="1">
      <alignment horizontal="center" vertical="center" wrapText="1"/>
    </xf>
    <xf numFmtId="4" fontId="9" fillId="0" borderId="1" xfId="0" applyNumberFormat="1" applyFont="1" applyBorder="1" applyAlignment="1" applyProtection="1">
      <alignment horizontal="center" vertical="center" wrapText="1"/>
    </xf>
    <xf numFmtId="4" fontId="19" fillId="0" borderId="1" xfId="0" applyNumberFormat="1" applyFont="1" applyBorder="1" applyAlignment="1" applyProtection="1">
      <alignment horizontal="center" vertical="center" wrapText="1"/>
    </xf>
    <xf numFmtId="164" fontId="19" fillId="0" borderId="1" xfId="0" applyNumberFormat="1" applyFont="1" applyBorder="1" applyAlignment="1" applyProtection="1">
      <alignment horizontal="right" vertical="center"/>
    </xf>
    <xf numFmtId="0" fontId="19" fillId="10" borderId="1" xfId="0" applyFont="1" applyFill="1" applyBorder="1" applyAlignment="1" applyProtection="1">
      <alignment horizontal="right" vertical="center"/>
    </xf>
    <xf numFmtId="164" fontId="19" fillId="10" borderId="1" xfId="0" applyNumberFormat="1" applyFont="1" applyFill="1" applyBorder="1" applyAlignment="1" applyProtection="1">
      <alignment horizontal="right" vertical="center"/>
    </xf>
    <xf numFmtId="0" fontId="0" fillId="0" borderId="3" xfId="0" applyBorder="1" applyAlignment="1" applyProtection="1"/>
    <xf numFmtId="0" fontId="0" fillId="0" borderId="4" xfId="0" applyBorder="1" applyAlignment="1" applyProtection="1"/>
    <xf numFmtId="0" fontId="18" fillId="0" borderId="2" xfId="0" applyFont="1" applyBorder="1" applyAlignment="1" applyProtection="1"/>
    <xf numFmtId="0" fontId="19" fillId="0" borderId="2" xfId="0" applyFont="1" applyBorder="1" applyAlignment="1" applyProtection="1"/>
    <xf numFmtId="0" fontId="19" fillId="0" borderId="0" xfId="0" applyFont="1" applyAlignment="1" applyProtection="1"/>
    <xf numFmtId="165" fontId="11" fillId="8" borderId="1" xfId="0" applyNumberFormat="1" applyFont="1" applyFill="1" applyBorder="1" applyAlignment="1" applyProtection="1">
      <alignment horizontal="right" vertical="center"/>
    </xf>
    <xf numFmtId="164" fontId="20" fillId="10" borderId="1" xfId="0" applyNumberFormat="1" applyFont="1" applyFill="1" applyBorder="1" applyAlignment="1" applyProtection="1">
      <alignment horizontal="right" vertical="center"/>
    </xf>
    <xf numFmtId="0" fontId="10" fillId="11" borderId="1" xfId="0" applyFont="1" applyFill="1" applyBorder="1" applyAlignment="1" applyProtection="1">
      <alignment horizontal="left" vertical="center"/>
    </xf>
    <xf numFmtId="0" fontId="0" fillId="3" borderId="0" xfId="0" applyFill="1" applyAlignment="1" applyProtection="1"/>
    <xf numFmtId="0" fontId="10" fillId="3" borderId="0" xfId="0" applyFont="1" applyFill="1" applyAlignment="1" applyProtection="1"/>
    <xf numFmtId="164" fontId="10" fillId="3" borderId="1" xfId="0" applyNumberFormat="1" applyFont="1" applyFill="1" applyBorder="1" applyAlignment="1" applyProtection="1"/>
    <xf numFmtId="165" fontId="10" fillId="3" borderId="1" xfId="0" applyNumberFormat="1" applyFont="1" applyFill="1" applyBorder="1" applyAlignment="1" applyProtection="1"/>
    <xf numFmtId="0" fontId="12" fillId="0" borderId="1" xfId="0" applyFont="1" applyBorder="1" applyAlignment="1" applyProtection="1">
      <alignment horizontal="left" vertical="center"/>
    </xf>
    <xf numFmtId="0" fontId="12" fillId="7" borderId="1" xfId="0" applyFont="1" applyFill="1" applyBorder="1" applyAlignment="1" applyProtection="1">
      <alignment horizontal="left" vertical="center"/>
    </xf>
    <xf numFmtId="164" fontId="20" fillId="3" borderId="1" xfId="0" applyNumberFormat="1" applyFont="1" applyFill="1" applyBorder="1" applyAlignment="1" applyProtection="1">
      <alignment horizontal="right" vertical="center"/>
    </xf>
    <xf numFmtId="0" fontId="9" fillId="3" borderId="1" xfId="0" applyFont="1" applyFill="1" applyBorder="1" applyAlignment="1" applyProtection="1">
      <alignment horizontal="left" vertical="center"/>
    </xf>
    <xf numFmtId="166" fontId="20" fillId="10" borderId="1" xfId="0" applyNumberFormat="1" applyFont="1" applyFill="1" applyBorder="1" applyAlignment="1" applyProtection="1">
      <alignment horizontal="right" vertical="center"/>
    </xf>
    <xf numFmtId="166" fontId="14" fillId="0" borderId="1" xfId="0" applyNumberFormat="1" applyFont="1" applyBorder="1" applyAlignment="1" applyProtection="1">
      <alignment horizontal="right" vertical="center"/>
    </xf>
    <xf numFmtId="166" fontId="9" fillId="11" borderId="1" xfId="0" applyNumberFormat="1" applyFont="1" applyFill="1" applyBorder="1" applyAlignment="1" applyProtection="1">
      <alignment horizontal="right" vertical="center"/>
    </xf>
    <xf numFmtId="166" fontId="9" fillId="0" borderId="1" xfId="0" applyNumberFormat="1" applyFont="1" applyBorder="1" applyAlignment="1" applyProtection="1">
      <alignment horizontal="right" vertical="center"/>
    </xf>
    <xf numFmtId="0" fontId="14" fillId="0" borderId="1" xfId="0" applyFont="1" applyBorder="1" applyAlignment="1" applyProtection="1">
      <alignment horizontal="right" vertical="center"/>
    </xf>
    <xf numFmtId="167" fontId="20" fillId="10" borderId="1" xfId="0" applyNumberFormat="1" applyFont="1" applyFill="1" applyBorder="1" applyAlignment="1" applyProtection="1">
      <alignment horizontal="right" vertical="center"/>
    </xf>
    <xf numFmtId="0" fontId="9" fillId="0" borderId="1" xfId="0" applyFont="1" applyBorder="1" applyAlignment="1" applyProtection="1">
      <alignment horizontal="left" vertical="center" indent="1"/>
    </xf>
    <xf numFmtId="167" fontId="10" fillId="0" borderId="1" xfId="0" applyNumberFormat="1" applyFont="1" applyBorder="1" applyAlignment="1" applyProtection="1">
      <alignment horizontal="right" vertical="center" indent="1"/>
    </xf>
    <xf numFmtId="0" fontId="9" fillId="7" borderId="1" xfId="0" applyFont="1" applyFill="1" applyBorder="1" applyAlignment="1" applyProtection="1">
      <alignment horizontal="left" vertical="center" indent="1"/>
    </xf>
    <xf numFmtId="166" fontId="10" fillId="7" borderId="1" xfId="0" applyNumberFormat="1" applyFont="1" applyFill="1" applyBorder="1" applyAlignment="1" applyProtection="1">
      <alignment horizontal="right" vertical="center" indent="1"/>
    </xf>
    <xf numFmtId="166" fontId="10" fillId="0" borderId="1" xfId="0" applyNumberFormat="1" applyFont="1" applyBorder="1" applyAlignment="1" applyProtection="1">
      <alignment horizontal="right" vertical="center" indent="1"/>
    </xf>
    <xf numFmtId="164" fontId="10" fillId="7" borderId="1" xfId="0" applyNumberFormat="1" applyFont="1" applyFill="1" applyBorder="1" applyAlignment="1" applyProtection="1">
      <alignment horizontal="right" vertical="center" indent="1"/>
    </xf>
    <xf numFmtId="164" fontId="10" fillId="0" borderId="1" xfId="0" applyNumberFormat="1" applyFont="1" applyBorder="1" applyAlignment="1" applyProtection="1">
      <alignment horizontal="right" vertical="center" indent="1"/>
    </xf>
    <xf numFmtId="0" fontId="6" fillId="2" borderId="0" xfId="0" applyFont="1" applyFill="1" applyBorder="1" applyAlignment="1" applyProtection="1">
      <alignment horizontal="left" vertical="center" indent="1"/>
    </xf>
    <xf numFmtId="0" fontId="7" fillId="2" borderId="0" xfId="0" applyFont="1" applyFill="1" applyBorder="1" applyAlignment="1" applyProtection="1">
      <alignment horizontal="left" vertical="center" indent="1"/>
    </xf>
    <xf numFmtId="0" fontId="8" fillId="2" borderId="0" xfId="0" applyFont="1" applyFill="1" applyBorder="1" applyAlignment="1" applyProtection="1"/>
    <xf numFmtId="0" fontId="8" fillId="2" borderId="2" xfId="0" applyFont="1" applyFill="1" applyBorder="1" applyAlignment="1" applyProtection="1"/>
    <xf numFmtId="0" fontId="19" fillId="0" borderId="1" xfId="0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</xf>
    <xf numFmtId="4" fontId="19" fillId="0" borderId="1" xfId="0" applyNumberFormat="1" applyFont="1" applyBorder="1" applyAlignment="1" applyProtection="1">
      <alignment horizontal="center" vertical="center" wrapText="1"/>
    </xf>
    <xf numFmtId="164" fontId="19" fillId="0" borderId="1" xfId="0" applyNumberFormat="1" applyFont="1" applyBorder="1" applyAlignment="1" applyProtection="1">
      <alignment horizontal="right" vertical="center"/>
    </xf>
    <xf numFmtId="0" fontId="0" fillId="0" borderId="0" xfId="0" applyBorder="1" applyAlignment="1" applyProtection="1"/>
    <xf numFmtId="0" fontId="19" fillId="10" borderId="1" xfId="0" applyFont="1" applyFill="1" applyBorder="1" applyAlignment="1" applyProtection="1">
      <alignment horizontal="right" vertical="center"/>
    </xf>
    <xf numFmtId="0" fontId="19" fillId="10" borderId="1" xfId="0" applyFont="1" applyFill="1" applyBorder="1" applyAlignment="1" applyProtection="1">
      <alignment horizontal="left" vertical="center"/>
    </xf>
    <xf numFmtId="3" fontId="20" fillId="10" borderId="1" xfId="0" applyNumberFormat="1" applyFont="1" applyFill="1" applyBorder="1" applyAlignment="1" applyProtection="1">
      <alignment horizontal="center" vertical="center" wrapText="1"/>
    </xf>
    <xf numFmtId="0" fontId="18" fillId="10" borderId="1" xfId="0" applyFont="1" applyFill="1" applyBorder="1" applyAlignment="1" applyProtection="1">
      <alignment horizontal="left" vertical="center" wrapText="1"/>
    </xf>
    <xf numFmtId="0" fontId="16" fillId="3" borderId="2" xfId="0" applyFont="1" applyFill="1" applyBorder="1" applyAlignment="1" applyProtection="1">
      <alignment horizontal="left" vertical="center"/>
    </xf>
    <xf numFmtId="3" fontId="17" fillId="8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left" vertical="center" wrapText="1"/>
    </xf>
    <xf numFmtId="0" fontId="18" fillId="0" borderId="0" xfId="0" applyFont="1" applyBorder="1" applyAlignment="1" applyProtection="1"/>
    <xf numFmtId="0" fontId="16" fillId="3" borderId="0" xfId="0" applyFont="1" applyFill="1" applyBorder="1" applyAlignment="1" applyProtection="1">
      <alignment horizontal="left" vertical="center"/>
    </xf>
    <xf numFmtId="0" fontId="6" fillId="2" borderId="0" xfId="0" applyFont="1" applyFill="1" applyBorder="1" applyAlignment="1" applyProtection="1">
      <alignment horizontal="left" vertical="center"/>
    </xf>
    <xf numFmtId="0" fontId="7" fillId="2" borderId="0" xfId="0" applyFont="1" applyFill="1" applyBorder="1" applyAlignment="1" applyProtection="1">
      <alignment horizontal="left" vertical="center"/>
    </xf>
    <xf numFmtId="0" fontId="21" fillId="7" borderId="5" xfId="0" applyFont="1" applyFill="1" applyBorder="1" applyAlignment="1" applyProtection="1">
      <alignment horizontal="left" vertical="center" wrapText="1" indent="1"/>
    </xf>
    <xf numFmtId="0" fontId="21" fillId="0" borderId="5" xfId="0" applyFont="1" applyBorder="1" applyAlignment="1" applyProtection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F5F5F5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3E3"/>
      <rgbColor rgb="FFE2F0D9"/>
      <rgbColor rgb="FFFFF2CC"/>
      <rgbColor rgb="FF99CCFF"/>
      <rgbColor rgb="FFFF99CC"/>
      <rgbColor rgb="FFCC99FF"/>
      <rgbColor rgb="FFF3E1BE"/>
      <rgbColor rgb="FF3366FF"/>
      <rgbColor rgb="FF33CCCC"/>
      <rgbColor rgb="FF99CC00"/>
      <rgbColor rgb="FFFFCC00"/>
      <rgbColor rgb="FFC8932A"/>
      <rgbColor rgb="FFFF6600"/>
      <rgbColor rgb="FF666666"/>
      <rgbColor rgb="FF999999"/>
      <rgbColor rgb="FF003366"/>
      <rgbColor rgb="FF339966"/>
      <rgbColor rgb="FF003300"/>
      <rgbColor rgb="FF3B2415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showGridLines="0" topLeftCell="A24" zoomScale="187" zoomScaleNormal="100" workbookViewId="0"/>
  </sheetViews>
  <sheetFormatPr baseColWidth="10" defaultColWidth="8.6640625" defaultRowHeight="15" x14ac:dyDescent="0.2"/>
  <cols>
    <col min="1" max="1" width="95" style="1" customWidth="1"/>
  </cols>
  <sheetData>
    <row r="1" spans="1:1" ht="24.75" customHeight="1" x14ac:dyDescent="0.2">
      <c r="A1" s="2" t="s">
        <v>0</v>
      </c>
    </row>
    <row r="2" spans="1:1" ht="27.75" customHeight="1" x14ac:dyDescent="0.2">
      <c r="A2" s="3" t="s">
        <v>1</v>
      </c>
    </row>
    <row r="4" spans="1:1" ht="15" customHeight="1" x14ac:dyDescent="0.2">
      <c r="A4" s="4" t="s">
        <v>2</v>
      </c>
    </row>
    <row r="6" spans="1:1" ht="23.25" customHeight="1" x14ac:dyDescent="0.2">
      <c r="A6" s="5" t="s">
        <v>3</v>
      </c>
    </row>
    <row r="7" spans="1:1" ht="23.25" customHeight="1" x14ac:dyDescent="0.2">
      <c r="A7" s="5" t="s">
        <v>4</v>
      </c>
    </row>
    <row r="8" spans="1:1" ht="15" customHeight="1" x14ac:dyDescent="0.2">
      <c r="A8" s="5" t="s">
        <v>5</v>
      </c>
    </row>
    <row r="9" spans="1:1" ht="23.25" customHeight="1" x14ac:dyDescent="0.2">
      <c r="A9" s="5" t="s">
        <v>6</v>
      </c>
    </row>
    <row r="10" spans="1:1" ht="15" customHeight="1" x14ac:dyDescent="0.2">
      <c r="A10" s="5" t="s">
        <v>7</v>
      </c>
    </row>
    <row r="12" spans="1:1" ht="15" customHeight="1" x14ac:dyDescent="0.2">
      <c r="A12" s="4" t="s">
        <v>8</v>
      </c>
    </row>
    <row r="14" spans="1:1" ht="45.75" customHeight="1" x14ac:dyDescent="0.2">
      <c r="A14" s="6" t="s">
        <v>9</v>
      </c>
    </row>
    <row r="15" spans="1:1" ht="45.75" customHeight="1" x14ac:dyDescent="0.2">
      <c r="A15" s="6" t="s">
        <v>10</v>
      </c>
    </row>
    <row r="16" spans="1:1" ht="34.5" customHeight="1" x14ac:dyDescent="0.2">
      <c r="A16" s="6" t="s">
        <v>11</v>
      </c>
    </row>
    <row r="17" spans="1:1" ht="45.75" customHeight="1" x14ac:dyDescent="0.2">
      <c r="A17" s="6" t="s">
        <v>12</v>
      </c>
    </row>
    <row r="18" spans="1:1" ht="21.75" customHeight="1" x14ac:dyDescent="0.2">
      <c r="A18" s="7" t="s">
        <v>13</v>
      </c>
    </row>
    <row r="20" spans="1:1" ht="15" customHeight="1" x14ac:dyDescent="0.2">
      <c r="A20" s="4" t="s">
        <v>14</v>
      </c>
    </row>
    <row r="22" spans="1:1" ht="34.5" customHeight="1" x14ac:dyDescent="0.2">
      <c r="A22" s="5" t="s">
        <v>15</v>
      </c>
    </row>
    <row r="23" spans="1:1" ht="23.25" customHeight="1" x14ac:dyDescent="0.2">
      <c r="A23" s="5" t="s">
        <v>16</v>
      </c>
    </row>
    <row r="24" spans="1:1" ht="45.75" customHeight="1" x14ac:dyDescent="0.2">
      <c r="A24" s="8" t="s">
        <v>17</v>
      </c>
    </row>
    <row r="26" spans="1:1" ht="15" customHeight="1" x14ac:dyDescent="0.2">
      <c r="A26" s="4" t="s">
        <v>18</v>
      </c>
    </row>
    <row r="28" spans="1:1" ht="45.75" customHeight="1" x14ac:dyDescent="0.2">
      <c r="A28" s="9" t="s">
        <v>19</v>
      </c>
    </row>
    <row r="29" spans="1:1" ht="34.5" customHeight="1" x14ac:dyDescent="0.2">
      <c r="A29" s="9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932A"/>
  </sheetPr>
  <dimension ref="A1:F27"/>
  <sheetViews>
    <sheetView showGridLines="0" zoomScale="171" zoomScaleNormal="171" workbookViewId="0">
      <pane ySplit="5" topLeftCell="A6" activePane="bottomLeft" state="frozen"/>
      <selection pane="bottomLeft" activeCell="B34" sqref="B34"/>
    </sheetView>
  </sheetViews>
  <sheetFormatPr baseColWidth="10" defaultColWidth="8.6640625" defaultRowHeight="15" x14ac:dyDescent="0.2"/>
  <cols>
    <col min="1" max="1" width="6" style="1" customWidth="1"/>
    <col min="2" max="2" width="62.5" style="1" customWidth="1"/>
    <col min="3" max="5" width="16" style="1" customWidth="1"/>
    <col min="6" max="6" width="12" style="1" customWidth="1"/>
  </cols>
  <sheetData>
    <row r="1" spans="1:6" ht="25.5" customHeight="1" x14ac:dyDescent="0.2">
      <c r="A1" s="74" t="s">
        <v>21</v>
      </c>
      <c r="B1" s="74"/>
      <c r="C1" s="74"/>
      <c r="D1" s="74"/>
      <c r="E1" s="74"/>
      <c r="F1" s="74"/>
    </row>
    <row r="2" spans="1:6" ht="15.75" customHeight="1" x14ac:dyDescent="0.2">
      <c r="A2" s="75" t="s">
        <v>22</v>
      </c>
      <c r="B2" s="75"/>
      <c r="C2" s="75"/>
      <c r="D2" s="75"/>
      <c r="E2" s="75"/>
      <c r="F2" s="75"/>
    </row>
    <row r="4" spans="1:6" ht="19.5" customHeight="1" x14ac:dyDescent="0.2">
      <c r="A4" s="76" t="s">
        <v>23</v>
      </c>
      <c r="B4" s="76"/>
      <c r="C4" s="76"/>
      <c r="D4" s="76"/>
      <c r="E4" s="76"/>
      <c r="F4" s="76"/>
    </row>
    <row r="5" spans="1:6" ht="30" customHeight="1" x14ac:dyDescent="0.2">
      <c r="A5" s="10" t="s">
        <v>24</v>
      </c>
      <c r="B5" s="10" t="s">
        <v>25</v>
      </c>
      <c r="C5" s="10" t="s">
        <v>26</v>
      </c>
      <c r="D5" s="10" t="s">
        <v>27</v>
      </c>
      <c r="E5" s="10" t="s">
        <v>28</v>
      </c>
      <c r="F5" s="10" t="s">
        <v>29</v>
      </c>
    </row>
    <row r="6" spans="1:6" ht="15" customHeight="1" x14ac:dyDescent="0.2">
      <c r="A6" s="11">
        <f>'HPP &amp; Harga Jual'!A5</f>
        <v>1</v>
      </c>
      <c r="B6" s="12" t="str">
        <f>'HPP &amp; Harga Jual'!B5</f>
        <v>Kopsu Gula Aren</v>
      </c>
      <c r="C6" s="13">
        <f>'HPP &amp; Harga Jual'!E5</f>
        <v>11765</v>
      </c>
      <c r="D6" s="13">
        <f>'HPP &amp; Harga Jual'!H5</f>
        <v>14500</v>
      </c>
      <c r="E6" s="13">
        <f>'HPP &amp; Harga Jual'!I5</f>
        <v>2735</v>
      </c>
      <c r="F6" s="14">
        <f>'HPP &amp; Harga Jual'!J5</f>
        <v>0.18862068965517242</v>
      </c>
    </row>
    <row r="7" spans="1:6" ht="15" customHeight="1" x14ac:dyDescent="0.2">
      <c r="A7" s="15">
        <f>'HPP &amp; Harga Jual'!A6</f>
        <v>2</v>
      </c>
      <c r="B7" s="16" t="str">
        <f>'HPP &amp; Harga Jual'!B6</f>
        <v>Kopsu Original</v>
      </c>
      <c r="C7" s="17">
        <f>'HPP &amp; Harga Jual'!E6</f>
        <v>11215</v>
      </c>
      <c r="D7" s="17">
        <f>'HPP &amp; Harga Jual'!H6</f>
        <v>14000</v>
      </c>
      <c r="E7" s="17">
        <f>'HPP &amp; Harga Jual'!I6</f>
        <v>2785</v>
      </c>
      <c r="F7" s="18">
        <f>'HPP &amp; Harga Jual'!J6</f>
        <v>0.19892857142857143</v>
      </c>
    </row>
    <row r="8" spans="1:6" ht="15" customHeight="1" x14ac:dyDescent="0.2">
      <c r="A8" s="11">
        <f>'HPP &amp; Harga Jual'!A7</f>
        <v>3</v>
      </c>
      <c r="B8" s="12" t="str">
        <f>'HPP &amp; Harga Jual'!B7</f>
        <v>Americano (Es)</v>
      </c>
      <c r="C8" s="13">
        <f>'HPP &amp; Harga Jual'!E7</f>
        <v>7290</v>
      </c>
      <c r="D8" s="13">
        <f>'HPP &amp; Harga Jual'!H7</f>
        <v>9000</v>
      </c>
      <c r="E8" s="13">
        <f>'HPP &amp; Harga Jual'!I7</f>
        <v>1710</v>
      </c>
      <c r="F8" s="14">
        <f>'HPP &amp; Harga Jual'!J7</f>
        <v>0.19</v>
      </c>
    </row>
    <row r="9" spans="1:6" ht="15" customHeight="1" x14ac:dyDescent="0.2">
      <c r="A9" s="15">
        <f>'HPP &amp; Harga Jual'!A8</f>
        <v>4</v>
      </c>
      <c r="B9" s="16" t="str">
        <f>'HPP &amp; Harga Jual'!B8</f>
        <v>Cappuccino (Panas)</v>
      </c>
      <c r="C9" s="17">
        <f>'HPP &amp; Harga Jual'!E8</f>
        <v>12025</v>
      </c>
      <c r="D9" s="17">
        <f>'HPP &amp; Harga Jual'!H8</f>
        <v>15000</v>
      </c>
      <c r="E9" s="17">
        <f>'HPP &amp; Harga Jual'!I8</f>
        <v>2975</v>
      </c>
      <c r="F9" s="18">
        <f>'HPP &amp; Harga Jual'!J8</f>
        <v>0.19833333333333333</v>
      </c>
    </row>
    <row r="10" spans="1:6" ht="15" customHeight="1" x14ac:dyDescent="0.2">
      <c r="A10" s="11">
        <f>'HPP &amp; Harga Jual'!A9</f>
        <v>5</v>
      </c>
      <c r="B10" s="12" t="str">
        <f>'HPP &amp; Harga Jual'!B9</f>
        <v>Matcha</v>
      </c>
      <c r="C10" s="13">
        <f>'HPP &amp; Harga Jual'!E9</f>
        <v>17660</v>
      </c>
      <c r="D10" s="13">
        <f>'HPP &amp; Harga Jual'!H9</f>
        <v>22000</v>
      </c>
      <c r="E10" s="13">
        <f>'HPP &amp; Harga Jual'!I9</f>
        <v>4340</v>
      </c>
      <c r="F10" s="14">
        <f>'HPP &amp; Harga Jual'!J9</f>
        <v>0.19727272727272727</v>
      </c>
    </row>
    <row r="11" spans="1:6" ht="15" customHeight="1" x14ac:dyDescent="0.2">
      <c r="A11" s="15">
        <f>'HPP &amp; Harga Jual'!A10</f>
        <v>6</v>
      </c>
      <c r="B11" s="16" t="str">
        <f>'HPP &amp; Harga Jual'!B10</f>
        <v>Kopsu Singgah Aren</v>
      </c>
      <c r="C11" s="17">
        <f>'HPP &amp; Harga Jual'!E10</f>
        <v>13495</v>
      </c>
      <c r="D11" s="17">
        <f>'HPP &amp; Harga Jual'!H10</f>
        <v>17000</v>
      </c>
      <c r="E11" s="17">
        <f>'HPP &amp; Harga Jual'!I10</f>
        <v>3505</v>
      </c>
      <c r="F11" s="18">
        <f>'HPP &amp; Harga Jual'!J10</f>
        <v>0.20617647058823529</v>
      </c>
    </row>
    <row r="12" spans="1:6" ht="15" customHeight="1" x14ac:dyDescent="0.2">
      <c r="A12" s="11">
        <f>'HPP &amp; Harga Jual'!A11</f>
        <v>7</v>
      </c>
      <c r="B12" s="12" t="str">
        <f>'HPP &amp; Harga Jual'!B11</f>
        <v>Butterscotch Latte</v>
      </c>
      <c r="C12" s="13">
        <f>'HPP &amp; Harga Jual'!E11</f>
        <v>13625</v>
      </c>
      <c r="D12" s="13">
        <f>'HPP &amp; Harga Jual'!H11</f>
        <v>17000</v>
      </c>
      <c r="E12" s="13">
        <f>'HPP &amp; Harga Jual'!I11</f>
        <v>3375</v>
      </c>
      <c r="F12" s="14">
        <f>'HPP &amp; Harga Jual'!J11</f>
        <v>0.19852941176470587</v>
      </c>
    </row>
    <row r="13" spans="1:6" ht="15" customHeight="1" x14ac:dyDescent="0.2">
      <c r="A13" s="15">
        <f>'HPP &amp; Harga Jual'!A12</f>
        <v>8</v>
      </c>
      <c r="B13" s="16" t="str">
        <f>'HPP &amp; Harga Jual'!B12</f>
        <v>Kopsu Singgah</v>
      </c>
      <c r="C13" s="17">
        <f>'HPP &amp; Harga Jual'!E12</f>
        <v>12825</v>
      </c>
      <c r="D13" s="17">
        <f>'HPP &amp; Harga Jual'!H12</f>
        <v>16000</v>
      </c>
      <c r="E13" s="17">
        <f>'HPP &amp; Harga Jual'!I12</f>
        <v>3175</v>
      </c>
      <c r="F13" s="18">
        <f>'HPP &amp; Harga Jual'!J12</f>
        <v>0.19843749999999999</v>
      </c>
    </row>
    <row r="14" spans="1:6" ht="15" customHeight="1" x14ac:dyDescent="0.2">
      <c r="A14" s="11">
        <f>'HPP &amp; Harga Jual'!A13</f>
        <v>9</v>
      </c>
      <c r="B14" s="12" t="str">
        <f>'HPP &amp; Harga Jual'!B13</f>
        <v>Oatside Signature</v>
      </c>
      <c r="C14" s="13">
        <f>'HPP &amp; Harga Jual'!E13</f>
        <v>12450</v>
      </c>
      <c r="D14" s="13">
        <f>'HPP &amp; Harga Jual'!H13</f>
        <v>15500</v>
      </c>
      <c r="E14" s="13">
        <f>'HPP &amp; Harga Jual'!I13</f>
        <v>3050</v>
      </c>
      <c r="F14" s="14">
        <f>'HPP &amp; Harga Jual'!J13</f>
        <v>0.1967741935483871</v>
      </c>
    </row>
    <row r="15" spans="1:6" ht="15" customHeight="1" x14ac:dyDescent="0.2">
      <c r="A15" s="15">
        <f>'HPP &amp; Harga Jual'!A14</f>
        <v>10</v>
      </c>
      <c r="B15" s="16" t="str">
        <f>'HPP &amp; Harga Jual'!B14</f>
        <v>Oatside Signature Gula Aren</v>
      </c>
      <c r="C15" s="17">
        <f>'HPP &amp; Harga Jual'!E14</f>
        <v>13100</v>
      </c>
      <c r="D15" s="17">
        <f>'HPP &amp; Harga Jual'!H14</f>
        <v>16500</v>
      </c>
      <c r="E15" s="17">
        <f>'HPP &amp; Harga Jual'!I14</f>
        <v>3400</v>
      </c>
      <c r="F15" s="18">
        <f>'HPP &amp; Harga Jual'!J14</f>
        <v>0.20606060606060606</v>
      </c>
    </row>
    <row r="16" spans="1:6" ht="15" customHeight="1" x14ac:dyDescent="0.2">
      <c r="A16" s="11"/>
      <c r="B16" s="12"/>
      <c r="C16" s="13"/>
      <c r="D16" s="13"/>
      <c r="E16" s="13"/>
      <c r="F16" s="14"/>
    </row>
    <row r="17" spans="1:6" ht="15" customHeight="1" x14ac:dyDescent="0.2">
      <c r="A17" s="15"/>
      <c r="B17" s="19" t="s">
        <v>30</v>
      </c>
      <c r="C17" s="19" t="str">
        <f>INDEX(B6:B15,MATCH(MAX(E6:E15),E6:E15,0))</f>
        <v>Matcha</v>
      </c>
      <c r="D17" s="17"/>
      <c r="E17" s="17"/>
      <c r="F17" s="18"/>
    </row>
    <row r="18" spans="1:6" ht="15" customHeight="1" x14ac:dyDescent="0.2">
      <c r="A18" s="11"/>
      <c r="B18" s="12"/>
      <c r="C18" s="13"/>
      <c r="D18" s="13"/>
      <c r="E18" s="13"/>
      <c r="F18" s="14"/>
    </row>
    <row r="19" spans="1:6" ht="15" customHeight="1" x14ac:dyDescent="0.2">
      <c r="A19" s="77" t="s">
        <v>31</v>
      </c>
      <c r="B19" s="77"/>
      <c r="C19" s="77"/>
      <c r="D19" s="77"/>
      <c r="E19" s="77"/>
      <c r="F19" s="77"/>
    </row>
    <row r="20" spans="1:6" ht="15" customHeight="1" x14ac:dyDescent="0.2">
      <c r="A20" s="69" t="s">
        <v>32</v>
      </c>
      <c r="B20" s="69"/>
      <c r="C20" s="69"/>
      <c r="D20" s="72">
        <f>BEP!C13</f>
        <v>3900000</v>
      </c>
      <c r="E20" s="72"/>
      <c r="F20" s="72"/>
    </row>
    <row r="21" spans="1:6" ht="15" customHeight="1" x14ac:dyDescent="0.2">
      <c r="A21" s="67" t="s">
        <v>33</v>
      </c>
      <c r="B21" s="67"/>
      <c r="C21" s="67"/>
      <c r="D21" s="73">
        <f>BEP!C18</f>
        <v>3105</v>
      </c>
      <c r="E21" s="73"/>
      <c r="F21" s="73"/>
    </row>
    <row r="22" spans="1:6" ht="15" customHeight="1" x14ac:dyDescent="0.2">
      <c r="A22" s="69" t="s">
        <v>34</v>
      </c>
      <c r="B22" s="69"/>
      <c r="C22" s="69"/>
      <c r="D22" s="70">
        <f>BEP!C21</f>
        <v>1257</v>
      </c>
      <c r="E22" s="70"/>
      <c r="F22" s="70"/>
    </row>
    <row r="23" spans="1:6" ht="15" customHeight="1" x14ac:dyDescent="0.2">
      <c r="A23" s="67" t="s">
        <v>35</v>
      </c>
      <c r="B23" s="67"/>
      <c r="C23" s="67"/>
      <c r="D23" s="73">
        <f>BEP!C22</f>
        <v>19657004.830917876</v>
      </c>
      <c r="E23" s="73"/>
      <c r="F23" s="73"/>
    </row>
    <row r="24" spans="1:6" ht="15" customHeight="1" x14ac:dyDescent="0.2">
      <c r="A24" s="69" t="s">
        <v>36</v>
      </c>
      <c r="B24" s="69"/>
      <c r="C24" s="69"/>
      <c r="D24" s="70">
        <f>BEP!C23</f>
        <v>42</v>
      </c>
      <c r="E24" s="70"/>
      <c r="F24" s="70"/>
    </row>
    <row r="25" spans="1:6" ht="19.5" customHeight="1" x14ac:dyDescent="0.2">
      <c r="A25" s="67" t="s">
        <v>37</v>
      </c>
      <c r="B25" s="67"/>
      <c r="C25" s="67"/>
      <c r="D25" s="71">
        <f>BEP!C27</f>
        <v>1500</v>
      </c>
      <c r="E25" s="71"/>
      <c r="F25" s="71"/>
    </row>
    <row r="26" spans="1:6" ht="15" customHeight="1" x14ac:dyDescent="0.2">
      <c r="A26" s="69" t="s">
        <v>38</v>
      </c>
      <c r="B26" s="69"/>
      <c r="C26" s="69"/>
      <c r="D26" s="72">
        <f>BEP!C28</f>
        <v>757500</v>
      </c>
      <c r="E26" s="72"/>
      <c r="F26" s="72"/>
    </row>
    <row r="27" spans="1:6" ht="15" customHeight="1" x14ac:dyDescent="0.2">
      <c r="A27" s="67" t="s">
        <v>39</v>
      </c>
      <c r="B27" s="67"/>
      <c r="C27" s="67"/>
      <c r="D27" s="68">
        <f>BEP!C33</f>
        <v>52.9</v>
      </c>
      <c r="E27" s="68"/>
      <c r="F27" s="68"/>
    </row>
  </sheetData>
  <mergeCells count="20">
    <mergeCell ref="A1:F1"/>
    <mergeCell ref="A2:F2"/>
    <mergeCell ref="A4:F4"/>
    <mergeCell ref="A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7:C27"/>
    <mergeCell ref="D27:F27"/>
    <mergeCell ref="A24:C24"/>
    <mergeCell ref="D24:F24"/>
    <mergeCell ref="A25:C25"/>
    <mergeCell ref="D25:F25"/>
    <mergeCell ref="A26:C26"/>
    <mergeCell ref="D26:F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B2415"/>
  </sheetPr>
  <dimension ref="A1:H30"/>
  <sheetViews>
    <sheetView showGridLines="0" zoomScale="282" zoomScaleNormal="282" workbookViewId="0">
      <pane ySplit="4" topLeftCell="A5" activePane="bottomLeft" state="frozen"/>
      <selection activeCell="D9" sqref="D9"/>
      <selection pane="bottomLeft" activeCell="D9" sqref="D9"/>
    </sheetView>
  </sheetViews>
  <sheetFormatPr baseColWidth="10" defaultColWidth="8.6640625" defaultRowHeight="15" x14ac:dyDescent="0.2"/>
  <cols>
    <col min="1" max="1" width="8" style="1" customWidth="1"/>
    <col min="2" max="2" width="32" style="1" customWidth="1"/>
    <col min="3" max="3" width="14" style="1" customWidth="1"/>
    <col min="4" max="4" width="16" style="1" customWidth="1"/>
    <col min="5" max="5" width="12" style="1" customWidth="1"/>
    <col min="6" max="6" width="16" style="1" customWidth="1"/>
    <col min="7" max="7" width="12" style="1" customWidth="1"/>
    <col min="8" max="8" width="20" style="1" customWidth="1"/>
  </cols>
  <sheetData>
    <row r="1" spans="1:8" ht="25.5" customHeight="1" x14ac:dyDescent="0.2">
      <c r="A1" s="74" t="s">
        <v>40</v>
      </c>
      <c r="B1" s="74"/>
      <c r="C1" s="74"/>
      <c r="D1" s="74"/>
      <c r="E1" s="74"/>
      <c r="F1" s="74"/>
      <c r="G1" s="74"/>
      <c r="H1" s="74"/>
    </row>
    <row r="2" spans="1:8" ht="15.75" customHeight="1" x14ac:dyDescent="0.2">
      <c r="A2" s="75" t="s">
        <v>41</v>
      </c>
      <c r="B2" s="75"/>
      <c r="C2" s="75"/>
      <c r="D2" s="75"/>
      <c r="E2" s="75"/>
      <c r="F2" s="75"/>
      <c r="G2" s="75"/>
      <c r="H2" s="75"/>
    </row>
    <row r="4" spans="1:8" ht="30" customHeight="1" x14ac:dyDescent="0.2">
      <c r="A4" s="10" t="s">
        <v>42</v>
      </c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48</v>
      </c>
      <c r="H4" s="10" t="s">
        <v>49</v>
      </c>
    </row>
    <row r="5" spans="1:8" ht="15" customHeight="1" x14ac:dyDescent="0.2">
      <c r="A5" s="11" t="s">
        <v>50</v>
      </c>
      <c r="B5" s="20" t="s">
        <v>51</v>
      </c>
      <c r="C5" s="11" t="s">
        <v>52</v>
      </c>
      <c r="D5" s="21">
        <v>126000</v>
      </c>
      <c r="E5" s="11" t="s">
        <v>53</v>
      </c>
      <c r="F5" s="22">
        <v>1000</v>
      </c>
      <c r="G5" s="11" t="s">
        <v>54</v>
      </c>
      <c r="H5" s="13">
        <f t="shared" ref="H5:H18" si="0">D5/F5</f>
        <v>126</v>
      </c>
    </row>
    <row r="6" spans="1:8" ht="15" customHeight="1" x14ac:dyDescent="0.2">
      <c r="A6" s="15" t="s">
        <v>55</v>
      </c>
      <c r="B6" s="23" t="s">
        <v>56</v>
      </c>
      <c r="C6" s="15" t="s">
        <v>52</v>
      </c>
      <c r="D6" s="21">
        <v>200000</v>
      </c>
      <c r="E6" s="15" t="s">
        <v>53</v>
      </c>
      <c r="F6" s="22">
        <v>1000</v>
      </c>
      <c r="G6" s="15" t="s">
        <v>54</v>
      </c>
      <c r="H6" s="17">
        <f t="shared" si="0"/>
        <v>200</v>
      </c>
    </row>
    <row r="7" spans="1:8" ht="15" customHeight="1" x14ac:dyDescent="0.2">
      <c r="A7" s="11" t="s">
        <v>57</v>
      </c>
      <c r="B7" s="20" t="s">
        <v>58</v>
      </c>
      <c r="C7" s="11" t="s">
        <v>59</v>
      </c>
      <c r="D7" s="21">
        <v>22000</v>
      </c>
      <c r="E7" s="11" t="s">
        <v>60</v>
      </c>
      <c r="F7" s="22">
        <v>1000</v>
      </c>
      <c r="G7" s="11" t="s">
        <v>61</v>
      </c>
      <c r="H7" s="13">
        <f t="shared" si="0"/>
        <v>22</v>
      </c>
    </row>
    <row r="8" spans="1:8" ht="15" customHeight="1" x14ac:dyDescent="0.2">
      <c r="A8" s="11" t="s">
        <v>62</v>
      </c>
      <c r="B8" s="20" t="s">
        <v>63</v>
      </c>
      <c r="C8" s="11" t="s">
        <v>64</v>
      </c>
      <c r="D8" s="21">
        <v>35000</v>
      </c>
      <c r="E8" s="11" t="s">
        <v>60</v>
      </c>
      <c r="F8" s="22">
        <v>1000</v>
      </c>
      <c r="G8" s="11" t="s">
        <v>61</v>
      </c>
      <c r="H8" s="13">
        <f t="shared" si="0"/>
        <v>35</v>
      </c>
    </row>
    <row r="9" spans="1:8" ht="15" customHeight="1" x14ac:dyDescent="0.2">
      <c r="A9" s="15" t="s">
        <v>65</v>
      </c>
      <c r="B9" s="23" t="s">
        <v>66</v>
      </c>
      <c r="C9" s="15" t="s">
        <v>64</v>
      </c>
      <c r="D9" s="21">
        <v>15000</v>
      </c>
      <c r="E9" s="15" t="s">
        <v>60</v>
      </c>
      <c r="F9" s="22">
        <v>1000</v>
      </c>
      <c r="G9" s="15" t="s">
        <v>61</v>
      </c>
      <c r="H9" s="17">
        <f t="shared" si="0"/>
        <v>15</v>
      </c>
    </row>
    <row r="10" spans="1:8" ht="15" customHeight="1" x14ac:dyDescent="0.2">
      <c r="A10" s="15" t="s">
        <v>67</v>
      </c>
      <c r="B10" s="23" t="s">
        <v>68</v>
      </c>
      <c r="C10" s="15" t="s">
        <v>69</v>
      </c>
      <c r="D10" s="21">
        <v>20000</v>
      </c>
      <c r="E10" s="15" t="s">
        <v>53</v>
      </c>
      <c r="F10" s="22">
        <v>1000</v>
      </c>
      <c r="G10" s="15" t="s">
        <v>54</v>
      </c>
      <c r="H10" s="17">
        <f t="shared" si="0"/>
        <v>20</v>
      </c>
    </row>
    <row r="11" spans="1:8" ht="15" customHeight="1" x14ac:dyDescent="0.2">
      <c r="A11" s="11" t="s">
        <v>70</v>
      </c>
      <c r="B11" s="20" t="s">
        <v>71</v>
      </c>
      <c r="C11" s="11" t="s">
        <v>72</v>
      </c>
      <c r="D11" s="21">
        <v>117000</v>
      </c>
      <c r="E11" s="11" t="s">
        <v>54</v>
      </c>
      <c r="F11" s="22">
        <v>100</v>
      </c>
      <c r="G11" s="11" t="s">
        <v>54</v>
      </c>
      <c r="H11" s="13">
        <f t="shared" si="0"/>
        <v>1170</v>
      </c>
    </row>
    <row r="12" spans="1:8" ht="15" customHeight="1" x14ac:dyDescent="0.2">
      <c r="A12" s="15" t="s">
        <v>73</v>
      </c>
      <c r="B12" s="23" t="s">
        <v>74</v>
      </c>
      <c r="C12" s="15" t="s">
        <v>75</v>
      </c>
      <c r="D12" s="21">
        <v>3000</v>
      </c>
      <c r="E12" s="15" t="s">
        <v>53</v>
      </c>
      <c r="F12" s="22">
        <v>1000</v>
      </c>
      <c r="G12" s="15" t="s">
        <v>54</v>
      </c>
      <c r="H12" s="17">
        <f t="shared" si="0"/>
        <v>3</v>
      </c>
    </row>
    <row r="13" spans="1:8" ht="15" customHeight="1" x14ac:dyDescent="0.2">
      <c r="A13" s="11" t="s">
        <v>76</v>
      </c>
      <c r="B13" s="20" t="s">
        <v>77</v>
      </c>
      <c r="C13" s="11" t="s">
        <v>78</v>
      </c>
      <c r="D13" s="21">
        <v>850</v>
      </c>
      <c r="E13" s="11" t="s">
        <v>79</v>
      </c>
      <c r="F13" s="22">
        <v>1</v>
      </c>
      <c r="G13" s="11" t="s">
        <v>79</v>
      </c>
      <c r="H13" s="13">
        <f t="shared" si="0"/>
        <v>850</v>
      </c>
    </row>
    <row r="14" spans="1:8" ht="15" customHeight="1" x14ac:dyDescent="0.2">
      <c r="A14" s="11" t="s">
        <v>80</v>
      </c>
      <c r="B14" s="20" t="s">
        <v>81</v>
      </c>
      <c r="C14" s="11" t="s">
        <v>78</v>
      </c>
      <c r="D14" s="21">
        <v>100</v>
      </c>
      <c r="E14" s="11" t="s">
        <v>79</v>
      </c>
      <c r="F14" s="22">
        <v>1</v>
      </c>
      <c r="G14" s="11" t="s">
        <v>79</v>
      </c>
      <c r="H14" s="13">
        <f t="shared" si="0"/>
        <v>100</v>
      </c>
    </row>
    <row r="15" spans="1:8" ht="15" customHeight="1" x14ac:dyDescent="0.2">
      <c r="A15" s="11" t="s">
        <v>82</v>
      </c>
      <c r="B15" s="20" t="s">
        <v>83</v>
      </c>
      <c r="C15" s="11" t="s">
        <v>64</v>
      </c>
      <c r="D15" s="21">
        <v>48000</v>
      </c>
      <c r="E15" s="11" t="s">
        <v>60</v>
      </c>
      <c r="F15" s="22">
        <v>1000</v>
      </c>
      <c r="G15" s="11" t="s">
        <v>61</v>
      </c>
      <c r="H15" s="13">
        <f t="shared" si="0"/>
        <v>48</v>
      </c>
    </row>
    <row r="16" spans="1:8" ht="15" customHeight="1" x14ac:dyDescent="0.2">
      <c r="A16" s="11" t="s">
        <v>84</v>
      </c>
      <c r="B16" s="20" t="s">
        <v>85</v>
      </c>
      <c r="C16" s="11" t="s">
        <v>59</v>
      </c>
      <c r="D16" s="21">
        <v>55000</v>
      </c>
      <c r="E16" s="11" t="s">
        <v>53</v>
      </c>
      <c r="F16" s="22">
        <v>1000</v>
      </c>
      <c r="G16" s="11" t="s">
        <v>54</v>
      </c>
      <c r="H16" s="13">
        <f t="shared" si="0"/>
        <v>55</v>
      </c>
    </row>
    <row r="17" spans="1:8" ht="15" customHeight="1" x14ac:dyDescent="0.2">
      <c r="A17" s="11" t="s">
        <v>86</v>
      </c>
      <c r="B17" s="20" t="s">
        <v>87</v>
      </c>
      <c r="C17" s="11" t="s">
        <v>59</v>
      </c>
      <c r="D17" s="21">
        <v>38000</v>
      </c>
      <c r="E17" s="11" t="s">
        <v>60</v>
      </c>
      <c r="F17" s="22">
        <v>1000</v>
      </c>
      <c r="G17" s="11" t="s">
        <v>61</v>
      </c>
      <c r="H17" s="13">
        <f t="shared" si="0"/>
        <v>38</v>
      </c>
    </row>
    <row r="18" spans="1:8" ht="15" customHeight="1" x14ac:dyDescent="0.2">
      <c r="A18" s="11" t="s">
        <v>88</v>
      </c>
      <c r="B18" s="24" t="s">
        <v>89</v>
      </c>
      <c r="C18" s="25" t="s">
        <v>64</v>
      </c>
      <c r="D18" s="21">
        <v>20000</v>
      </c>
      <c r="E18" s="25" t="s">
        <v>60</v>
      </c>
      <c r="F18" s="22">
        <v>1000</v>
      </c>
      <c r="G18" s="11" t="s">
        <v>61</v>
      </c>
      <c r="H18" s="13">
        <f t="shared" si="0"/>
        <v>20</v>
      </c>
    </row>
    <row r="19" spans="1:8" ht="15" customHeight="1" x14ac:dyDescent="0.2"/>
    <row r="20" spans="1:8" ht="15" customHeight="1" x14ac:dyDescent="0.2">
      <c r="A20" s="26" t="s">
        <v>90</v>
      </c>
    </row>
    <row r="21" spans="1:8" ht="15" customHeight="1" x14ac:dyDescent="0.2">
      <c r="A21" s="27" t="s">
        <v>91</v>
      </c>
    </row>
    <row r="22" spans="1:8" ht="15" customHeight="1" x14ac:dyDescent="0.2">
      <c r="A22" s="27" t="s">
        <v>92</v>
      </c>
    </row>
    <row r="23" spans="1:8" ht="15" customHeight="1" x14ac:dyDescent="0.2"/>
    <row r="24" spans="1:8" ht="15" customHeight="1" x14ac:dyDescent="0.2"/>
    <row r="25" spans="1:8" ht="15" customHeight="1" x14ac:dyDescent="0.2"/>
    <row r="26" spans="1:8" ht="15" customHeight="1" x14ac:dyDescent="0.2"/>
    <row r="28" spans="1:8" ht="15" customHeight="1" x14ac:dyDescent="0.2"/>
    <row r="29" spans="1:8" ht="15" customHeight="1" x14ac:dyDescent="0.2"/>
    <row r="30" spans="1:8" ht="15" customHeight="1" x14ac:dyDescent="0.2"/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B2415"/>
  </sheetPr>
  <dimension ref="A1:J91"/>
  <sheetViews>
    <sheetView showGridLines="0" tabSelected="1" zoomScale="210" zoomScaleNormal="210" workbookViewId="0">
      <pane ySplit="4" topLeftCell="A5" activePane="bottomLeft" state="frozen"/>
      <selection activeCell="C17" sqref="C17"/>
      <selection pane="bottomLeft" activeCell="E53" sqref="E53"/>
    </sheetView>
  </sheetViews>
  <sheetFormatPr baseColWidth="10" defaultColWidth="8.6640625" defaultRowHeight="15" x14ac:dyDescent="0.2"/>
  <cols>
    <col min="1" max="1" width="5" style="1" customWidth="1"/>
    <col min="2" max="2" width="62.5" style="1" customWidth="1"/>
    <col min="3" max="3" width="10" style="1" customWidth="1"/>
    <col min="4" max="4" width="30" style="1" customWidth="1"/>
    <col min="5" max="5" width="12" style="1" customWidth="1"/>
    <col min="6" max="6" width="10" style="1" customWidth="1"/>
    <col min="7" max="7" width="20" style="1" customWidth="1"/>
    <col min="8" max="8" width="18" style="1" customWidth="1"/>
    <col min="9" max="9" width="14" style="1" customWidth="1"/>
  </cols>
  <sheetData>
    <row r="1" spans="1:10" ht="25.5" customHeight="1" x14ac:dyDescent="0.2">
      <c r="A1" s="74" t="s">
        <v>93</v>
      </c>
      <c r="B1" s="74"/>
      <c r="C1" s="74"/>
      <c r="D1" s="74"/>
      <c r="E1" s="74"/>
      <c r="F1" s="74"/>
      <c r="G1" s="74"/>
      <c r="H1" s="74"/>
    </row>
    <row r="2" spans="1:10" ht="15.75" customHeight="1" x14ac:dyDescent="0.2">
      <c r="A2" s="75" t="s">
        <v>94</v>
      </c>
      <c r="B2" s="75"/>
      <c r="C2" s="75"/>
      <c r="D2" s="75"/>
      <c r="E2" s="75"/>
      <c r="F2" s="75"/>
      <c r="G2" s="75"/>
      <c r="H2" s="75"/>
    </row>
    <row r="4" spans="1:10" ht="30" customHeight="1" x14ac:dyDescent="0.2">
      <c r="A4" s="10" t="s">
        <v>24</v>
      </c>
      <c r="B4" s="10" t="s">
        <v>25</v>
      </c>
      <c r="C4" s="10" t="s">
        <v>95</v>
      </c>
      <c r="D4" s="10" t="s">
        <v>43</v>
      </c>
      <c r="E4" s="10" t="s">
        <v>96</v>
      </c>
      <c r="F4" s="10" t="s">
        <v>97</v>
      </c>
      <c r="G4" s="10" t="s">
        <v>49</v>
      </c>
      <c r="H4" s="10" t="s">
        <v>98</v>
      </c>
      <c r="I4" s="28" t="s">
        <v>99</v>
      </c>
    </row>
    <row r="5" spans="1:10" ht="15" customHeight="1" x14ac:dyDescent="0.2">
      <c r="A5" s="15">
        <v>1</v>
      </c>
      <c r="B5" s="16" t="str">
        <f>INDEX('HPP &amp; Harga Jual'!$B:$B,MATCH(I5,'HPP &amp; Harga Jual'!$A:$A,0))</f>
        <v>Kopsu Gula Aren</v>
      </c>
      <c r="C5" s="15" t="str">
        <f>INDEX('Master Bahan Baku'!$A:$A,MATCH(D5,'Master Bahan Baku'!$B:$B,0))</f>
        <v>B01</v>
      </c>
      <c r="D5" s="23" t="s">
        <v>51</v>
      </c>
      <c r="E5" s="22">
        <v>15</v>
      </c>
      <c r="F5" s="15" t="s">
        <v>54</v>
      </c>
      <c r="G5" s="29">
        <f>INDEX('Master Bahan Baku'!$H:$H,MATCH(C5,'Master Bahan Baku'!$A:$A,0))</f>
        <v>126</v>
      </c>
      <c r="H5" s="30">
        <f t="shared" ref="H5:H36" si="0">E5*G5</f>
        <v>1890</v>
      </c>
      <c r="I5" s="31">
        <f>A5</f>
        <v>1</v>
      </c>
      <c r="J5" s="32"/>
    </row>
    <row r="6" spans="1:10" ht="15" customHeight="1" x14ac:dyDescent="0.2">
      <c r="A6" s="15"/>
      <c r="B6" s="16" t="str">
        <f>INDEX('HPP &amp; Harga Jual'!$B:$B,MATCH(I6,'HPP &amp; Harga Jual'!$A:$A,0))</f>
        <v>Kopsu Gula Aren</v>
      </c>
      <c r="C6" s="15" t="str">
        <f>INDEX('Master Bahan Baku'!$A:$A,MATCH(D6,'Master Bahan Baku'!$B:$B,0))</f>
        <v>B03</v>
      </c>
      <c r="D6" s="23" t="s">
        <v>58</v>
      </c>
      <c r="E6" s="22">
        <v>100</v>
      </c>
      <c r="F6" s="15" t="s">
        <v>61</v>
      </c>
      <c r="G6" s="29">
        <f>INDEX('Master Bahan Baku'!$H:$H,MATCH(C6,'Master Bahan Baku'!$A:$A,0))</f>
        <v>22</v>
      </c>
      <c r="H6" s="30">
        <f t="shared" si="0"/>
        <v>2200</v>
      </c>
      <c r="I6" s="31">
        <f t="shared" ref="I6:I37" si="1">IF(A6&lt;&gt;"",A6,I5)</f>
        <v>1</v>
      </c>
    </row>
    <row r="7" spans="1:10" ht="15" customHeight="1" x14ac:dyDescent="0.2">
      <c r="A7" s="15"/>
      <c r="B7" s="16" t="str">
        <f>INDEX('HPP &amp; Harga Jual'!$B:$B,MATCH(I7,'HPP &amp; Harga Jual'!$A:$A,0))</f>
        <v>Kopsu Gula Aren</v>
      </c>
      <c r="C7" s="15" t="str">
        <f>INDEX('Master Bahan Baku'!$A:$A,MATCH(D7,'Master Bahan Baku'!$B:$B,0))</f>
        <v>B20</v>
      </c>
      <c r="D7" s="23" t="s">
        <v>85</v>
      </c>
      <c r="E7" s="22">
        <v>25</v>
      </c>
      <c r="F7" s="15" t="s">
        <v>54</v>
      </c>
      <c r="G7" s="29">
        <f>INDEX('Master Bahan Baku'!$H:$H,MATCH(C7,'Master Bahan Baku'!$A:$A,0))</f>
        <v>55</v>
      </c>
      <c r="H7" s="30">
        <f t="shared" si="0"/>
        <v>1375</v>
      </c>
      <c r="I7" s="31">
        <f t="shared" si="1"/>
        <v>1</v>
      </c>
    </row>
    <row r="8" spans="1:10" ht="15" customHeight="1" x14ac:dyDescent="0.2">
      <c r="A8" s="15"/>
      <c r="B8" s="16" t="str">
        <f>INDEX('HPP &amp; Harga Jual'!$B:$B,MATCH(I8,'HPP &amp; Harga Jual'!$A:$A,0))</f>
        <v>Kopsu Gula Aren</v>
      </c>
      <c r="C8" s="15" t="str">
        <f>INDEX('Master Bahan Baku'!$A:$A,MATCH(D8,'Master Bahan Baku'!$B:$B,0))</f>
        <v>B05</v>
      </c>
      <c r="D8" s="23" t="s">
        <v>63</v>
      </c>
      <c r="E8" s="22">
        <v>30</v>
      </c>
      <c r="F8" s="15" t="s">
        <v>61</v>
      </c>
      <c r="G8" s="29">
        <f>INDEX('Master Bahan Baku'!$H:$H,MATCH(C8,'Master Bahan Baku'!$A:$A,0))</f>
        <v>35</v>
      </c>
      <c r="H8" s="30">
        <f t="shared" si="0"/>
        <v>1050</v>
      </c>
      <c r="I8" s="31">
        <f t="shared" si="1"/>
        <v>1</v>
      </c>
    </row>
    <row r="9" spans="1:10" ht="15" customHeight="1" x14ac:dyDescent="0.2">
      <c r="A9" s="15"/>
      <c r="B9" s="16" t="str">
        <f>INDEX('HPP &amp; Harga Jual'!$B:$B,MATCH(I9,'HPP &amp; Harga Jual'!$A:$A,0))</f>
        <v>Kopsu Gula Aren</v>
      </c>
      <c r="C9" s="15" t="str">
        <f>INDEX('Master Bahan Baku'!$A:$A,MATCH(D9,'Master Bahan Baku'!$B:$B,0))</f>
        <v>B13</v>
      </c>
      <c r="D9" s="23" t="s">
        <v>74</v>
      </c>
      <c r="E9" s="22">
        <v>100</v>
      </c>
      <c r="F9" s="15" t="s">
        <v>54</v>
      </c>
      <c r="G9" s="29">
        <f>INDEX('Master Bahan Baku'!$H:$H,MATCH(C9,'Master Bahan Baku'!$A:$A,0))</f>
        <v>3</v>
      </c>
      <c r="H9" s="30">
        <f t="shared" si="0"/>
        <v>300</v>
      </c>
      <c r="I9" s="31">
        <f t="shared" si="1"/>
        <v>1</v>
      </c>
    </row>
    <row r="10" spans="1:10" ht="15" customHeight="1" x14ac:dyDescent="0.2">
      <c r="A10" s="15"/>
      <c r="B10" s="16" t="str">
        <f>INDEX('HPP &amp; Harga Jual'!$B:$B,MATCH(I10,'HPP &amp; Harga Jual'!$A:$A,0))</f>
        <v>Kopsu Gula Aren</v>
      </c>
      <c r="C10" s="15" t="str">
        <f>INDEX('Master Bahan Baku'!$A:$A,MATCH(D10,'Master Bahan Baku'!$B:$B,0))</f>
        <v>B14</v>
      </c>
      <c r="D10" s="23" t="s">
        <v>77</v>
      </c>
      <c r="E10" s="22">
        <v>1</v>
      </c>
      <c r="F10" s="15" t="s">
        <v>79</v>
      </c>
      <c r="G10" s="29">
        <f>INDEX('Master Bahan Baku'!$H:$H,MATCH(C10,'Master Bahan Baku'!$A:$A,0))</f>
        <v>850</v>
      </c>
      <c r="H10" s="30">
        <f t="shared" si="0"/>
        <v>850</v>
      </c>
      <c r="I10" s="31">
        <f t="shared" si="1"/>
        <v>1</v>
      </c>
    </row>
    <row r="11" spans="1:10" ht="15" customHeight="1" x14ac:dyDescent="0.2">
      <c r="A11" s="15"/>
      <c r="B11" s="16" t="str">
        <f>INDEX('HPP &amp; Harga Jual'!$B:$B,MATCH(I11,'HPP &amp; Harga Jual'!$A:$A,0))</f>
        <v>Kopsu Gula Aren</v>
      </c>
      <c r="C11" s="15" t="str">
        <f>INDEX('Master Bahan Baku'!$A:$A,MATCH(D11,'Master Bahan Baku'!$B:$B,0))</f>
        <v>B16</v>
      </c>
      <c r="D11" s="23" t="s">
        <v>81</v>
      </c>
      <c r="E11" s="22">
        <v>1</v>
      </c>
      <c r="F11" s="15" t="s">
        <v>79</v>
      </c>
      <c r="G11" s="29">
        <f>INDEX('Master Bahan Baku'!$H:$H,MATCH(C11,'Master Bahan Baku'!$A:$A,0))</f>
        <v>100</v>
      </c>
      <c r="H11" s="30">
        <f t="shared" si="0"/>
        <v>100</v>
      </c>
      <c r="I11" s="31">
        <f t="shared" si="1"/>
        <v>1</v>
      </c>
    </row>
    <row r="12" spans="1:10" ht="15" customHeight="1" x14ac:dyDescent="0.2">
      <c r="A12" s="15">
        <v>2</v>
      </c>
      <c r="B12" s="16" t="str">
        <f>INDEX('HPP &amp; Harga Jual'!$B:$B,MATCH(I12,'HPP &amp; Harga Jual'!$A:$A,0))</f>
        <v>Kopsu Original</v>
      </c>
      <c r="C12" s="15" t="str">
        <f>INDEX('Master Bahan Baku'!$A:$A,MATCH(D12,'Master Bahan Baku'!$B:$B,0))</f>
        <v>B01</v>
      </c>
      <c r="D12" s="23" t="s">
        <v>51</v>
      </c>
      <c r="E12" s="22">
        <v>15</v>
      </c>
      <c r="F12" s="15" t="s">
        <v>54</v>
      </c>
      <c r="G12" s="29">
        <f>INDEX('Master Bahan Baku'!$H:$H,MATCH(C12,'Master Bahan Baku'!$A:$A,0))</f>
        <v>126</v>
      </c>
      <c r="H12" s="30">
        <f t="shared" si="0"/>
        <v>1890</v>
      </c>
      <c r="I12" s="31">
        <f t="shared" si="1"/>
        <v>2</v>
      </c>
    </row>
    <row r="13" spans="1:10" ht="15" customHeight="1" x14ac:dyDescent="0.2">
      <c r="A13" s="15"/>
      <c r="B13" s="16" t="str">
        <f>INDEX('HPP &amp; Harga Jual'!$B:$B,MATCH(I13,'HPP &amp; Harga Jual'!$A:$A,0))</f>
        <v>Kopsu Original</v>
      </c>
      <c r="C13" s="15" t="str">
        <f>INDEX('Master Bahan Baku'!$A:$A,MATCH(D13,'Master Bahan Baku'!$B:$B,0))</f>
        <v>B03</v>
      </c>
      <c r="D13" s="23" t="s">
        <v>58</v>
      </c>
      <c r="E13" s="22">
        <v>100</v>
      </c>
      <c r="F13" s="15" t="s">
        <v>61</v>
      </c>
      <c r="G13" s="29">
        <f>INDEX('Master Bahan Baku'!$H:$H,MATCH(C13,'Master Bahan Baku'!$A:$A,0))</f>
        <v>22</v>
      </c>
      <c r="H13" s="30">
        <f t="shared" si="0"/>
        <v>2200</v>
      </c>
      <c r="I13" s="31">
        <f t="shared" si="1"/>
        <v>2</v>
      </c>
    </row>
    <row r="14" spans="1:10" ht="15" customHeight="1" x14ac:dyDescent="0.2">
      <c r="A14" s="15"/>
      <c r="B14" s="16" t="str">
        <f>INDEX('HPP &amp; Harga Jual'!$B:$B,MATCH(I14,'HPP &amp; Harga Jual'!$A:$A,0))</f>
        <v>Kopsu Original</v>
      </c>
      <c r="C14" s="15" t="str">
        <f>INDEX('Master Bahan Baku'!$A:$A,MATCH(D14,'Master Bahan Baku'!$B:$B,0))</f>
        <v>B20</v>
      </c>
      <c r="D14" s="23" t="s">
        <v>85</v>
      </c>
      <c r="E14" s="22">
        <v>25</v>
      </c>
      <c r="F14" s="15" t="s">
        <v>54</v>
      </c>
      <c r="G14" s="29">
        <f>INDEX('Master Bahan Baku'!$H:$H,MATCH(C14,'Master Bahan Baku'!$A:$A,0))</f>
        <v>55</v>
      </c>
      <c r="H14" s="30">
        <f t="shared" si="0"/>
        <v>1375</v>
      </c>
      <c r="I14" s="31">
        <f t="shared" si="1"/>
        <v>2</v>
      </c>
    </row>
    <row r="15" spans="1:10" ht="15" customHeight="1" x14ac:dyDescent="0.2">
      <c r="A15" s="15"/>
      <c r="B15" s="16" t="str">
        <f>INDEX('HPP &amp; Harga Jual'!$B:$B,MATCH(I15,'HPP &amp; Harga Jual'!$A:$A,0))</f>
        <v>Kopsu Original</v>
      </c>
      <c r="C15" s="15" t="str">
        <f>INDEX('Master Bahan Baku'!$A:$A,MATCH(D15,'Master Bahan Baku'!$B:$B,0))</f>
        <v>B23</v>
      </c>
      <c r="D15" s="23" t="s">
        <v>89</v>
      </c>
      <c r="E15" s="22">
        <v>25</v>
      </c>
      <c r="F15" s="15" t="s">
        <v>61</v>
      </c>
      <c r="G15" s="29">
        <f>INDEX('Master Bahan Baku'!$H:$H,MATCH(C15,'Master Bahan Baku'!$A:$A,0))</f>
        <v>20</v>
      </c>
      <c r="H15" s="30">
        <f t="shared" si="0"/>
        <v>500</v>
      </c>
      <c r="I15" s="31">
        <f t="shared" si="1"/>
        <v>2</v>
      </c>
    </row>
    <row r="16" spans="1:10" ht="15" customHeight="1" x14ac:dyDescent="0.2">
      <c r="A16" s="15"/>
      <c r="B16" s="16" t="str">
        <f>INDEX('HPP &amp; Harga Jual'!$B:$B,MATCH(I16,'HPP &amp; Harga Jual'!$A:$A,0))</f>
        <v>Kopsu Original</v>
      </c>
      <c r="C16" s="15" t="str">
        <f>INDEX('Master Bahan Baku'!$A:$A,MATCH(D16,'Master Bahan Baku'!$B:$B,0))</f>
        <v>B13</v>
      </c>
      <c r="D16" s="23" t="s">
        <v>74</v>
      </c>
      <c r="E16" s="22">
        <v>100</v>
      </c>
      <c r="F16" s="15" t="s">
        <v>54</v>
      </c>
      <c r="G16" s="29">
        <f>INDEX('Master Bahan Baku'!$H:$H,MATCH(C16,'Master Bahan Baku'!$A:$A,0))</f>
        <v>3</v>
      </c>
      <c r="H16" s="30">
        <f t="shared" si="0"/>
        <v>300</v>
      </c>
      <c r="I16" s="31">
        <f t="shared" si="1"/>
        <v>2</v>
      </c>
    </row>
    <row r="17" spans="1:9" ht="15" customHeight="1" x14ac:dyDescent="0.2">
      <c r="A17" s="15"/>
      <c r="B17" s="16" t="str">
        <f>INDEX('HPP &amp; Harga Jual'!$B:$B,MATCH(I17,'HPP &amp; Harga Jual'!$A:$A,0))</f>
        <v>Kopsu Original</v>
      </c>
      <c r="C17" s="15" t="str">
        <f>INDEX('Master Bahan Baku'!$A:$A,MATCH(D17,'Master Bahan Baku'!$B:$B,0))</f>
        <v>B14</v>
      </c>
      <c r="D17" s="23" t="s">
        <v>77</v>
      </c>
      <c r="E17" s="22">
        <v>1</v>
      </c>
      <c r="F17" s="15" t="s">
        <v>79</v>
      </c>
      <c r="G17" s="29">
        <f>INDEX('Master Bahan Baku'!$H:$H,MATCH(C17,'Master Bahan Baku'!$A:$A,0))</f>
        <v>850</v>
      </c>
      <c r="H17" s="30">
        <f t="shared" si="0"/>
        <v>850</v>
      </c>
      <c r="I17" s="31">
        <f t="shared" si="1"/>
        <v>2</v>
      </c>
    </row>
    <row r="18" spans="1:9" ht="15" customHeight="1" x14ac:dyDescent="0.2">
      <c r="A18" s="15"/>
      <c r="B18" s="16" t="str">
        <f>INDEX('HPP &amp; Harga Jual'!$B:$B,MATCH(I18,'HPP &amp; Harga Jual'!$A:$A,0))</f>
        <v>Kopsu Original</v>
      </c>
      <c r="C18" s="15" t="str">
        <f>INDEX('Master Bahan Baku'!$A:$A,MATCH(D18,'Master Bahan Baku'!$B:$B,0))</f>
        <v>B16</v>
      </c>
      <c r="D18" s="23" t="s">
        <v>81</v>
      </c>
      <c r="E18" s="22">
        <v>1</v>
      </c>
      <c r="F18" s="15" t="s">
        <v>79</v>
      </c>
      <c r="G18" s="29">
        <f>INDEX('Master Bahan Baku'!$H:$H,MATCH(C18,'Master Bahan Baku'!$A:$A,0))</f>
        <v>100</v>
      </c>
      <c r="H18" s="30">
        <f t="shared" si="0"/>
        <v>100</v>
      </c>
      <c r="I18" s="31">
        <f t="shared" si="1"/>
        <v>2</v>
      </c>
    </row>
    <row r="19" spans="1:9" ht="15" customHeight="1" x14ac:dyDescent="0.2">
      <c r="A19" s="15">
        <v>3</v>
      </c>
      <c r="B19" s="16" t="str">
        <f>INDEX('HPP &amp; Harga Jual'!$B:$B,MATCH(I19,'HPP &amp; Harga Jual'!$A:$A,0))</f>
        <v>Americano (Es)</v>
      </c>
      <c r="C19" s="15" t="str">
        <f>INDEX('Master Bahan Baku'!$A:$A,MATCH(D19,'Master Bahan Baku'!$B:$B,0))</f>
        <v>B01</v>
      </c>
      <c r="D19" s="23" t="s">
        <v>51</v>
      </c>
      <c r="E19" s="22">
        <v>15</v>
      </c>
      <c r="F19" s="15" t="s">
        <v>54</v>
      </c>
      <c r="G19" s="29">
        <f>INDEX('Master Bahan Baku'!$H:$H,MATCH(C19,'Master Bahan Baku'!$A:$A,0))</f>
        <v>126</v>
      </c>
      <c r="H19" s="30">
        <f t="shared" si="0"/>
        <v>1890</v>
      </c>
      <c r="I19" s="31">
        <f t="shared" si="1"/>
        <v>3</v>
      </c>
    </row>
    <row r="20" spans="1:9" ht="15" customHeight="1" x14ac:dyDescent="0.2">
      <c r="A20" s="15"/>
      <c r="B20" s="16" t="str">
        <f>INDEX('HPP &amp; Harga Jual'!$B:$B,MATCH(I20,'HPP &amp; Harga Jual'!$A:$A,0))</f>
        <v>Americano (Es)</v>
      </c>
      <c r="C20" s="15" t="str">
        <f>INDEX('Master Bahan Baku'!$A:$A,MATCH(D20,'Master Bahan Baku'!$B:$B,0))</f>
        <v>B06</v>
      </c>
      <c r="D20" s="23" t="s">
        <v>66</v>
      </c>
      <c r="E20" s="22">
        <v>10</v>
      </c>
      <c r="F20" s="15" t="s">
        <v>61</v>
      </c>
      <c r="G20" s="29">
        <f>INDEX('Master Bahan Baku'!$H:$H,MATCH(C20,'Master Bahan Baku'!$A:$A,0))</f>
        <v>15</v>
      </c>
      <c r="H20" s="30">
        <f t="shared" si="0"/>
        <v>150</v>
      </c>
      <c r="I20" s="31">
        <f t="shared" si="1"/>
        <v>3</v>
      </c>
    </row>
    <row r="21" spans="1:9" ht="15" customHeight="1" x14ac:dyDescent="0.2">
      <c r="A21" s="15"/>
      <c r="B21" s="16" t="str">
        <f>INDEX('HPP &amp; Harga Jual'!$B:$B,MATCH(I21,'HPP &amp; Harga Jual'!$A:$A,0))</f>
        <v>Americano (Es)</v>
      </c>
      <c r="C21" s="15" t="str">
        <f>INDEX('Master Bahan Baku'!$A:$A,MATCH(D21,'Master Bahan Baku'!$B:$B,0))</f>
        <v>B13</v>
      </c>
      <c r="D21" s="23" t="s">
        <v>74</v>
      </c>
      <c r="E21" s="22">
        <v>100</v>
      </c>
      <c r="F21" s="15" t="s">
        <v>54</v>
      </c>
      <c r="G21" s="29">
        <f>INDEX('Master Bahan Baku'!$H:$H,MATCH(C21,'Master Bahan Baku'!$A:$A,0))</f>
        <v>3</v>
      </c>
      <c r="H21" s="30">
        <f t="shared" si="0"/>
        <v>300</v>
      </c>
      <c r="I21" s="31">
        <f t="shared" si="1"/>
        <v>3</v>
      </c>
    </row>
    <row r="22" spans="1:9" ht="15" customHeight="1" x14ac:dyDescent="0.2">
      <c r="A22" s="15"/>
      <c r="B22" s="16" t="str">
        <f>INDEX('HPP &amp; Harga Jual'!$B:$B,MATCH(I22,'HPP &amp; Harga Jual'!$A:$A,0))</f>
        <v>Americano (Es)</v>
      </c>
      <c r="C22" s="15" t="str">
        <f>INDEX('Master Bahan Baku'!$A:$A,MATCH(D22,'Master Bahan Baku'!$B:$B,0))</f>
        <v>B14</v>
      </c>
      <c r="D22" s="23" t="s">
        <v>77</v>
      </c>
      <c r="E22" s="22">
        <v>1</v>
      </c>
      <c r="F22" s="15" t="s">
        <v>79</v>
      </c>
      <c r="G22" s="29">
        <f>INDEX('Master Bahan Baku'!$H:$H,MATCH(C22,'Master Bahan Baku'!$A:$A,0))</f>
        <v>850</v>
      </c>
      <c r="H22" s="30">
        <f t="shared" si="0"/>
        <v>850</v>
      </c>
      <c r="I22" s="31">
        <f t="shared" si="1"/>
        <v>3</v>
      </c>
    </row>
    <row r="23" spans="1:9" ht="15" customHeight="1" x14ac:dyDescent="0.2">
      <c r="A23" s="15"/>
      <c r="B23" s="16" t="str">
        <f>INDEX('HPP &amp; Harga Jual'!$B:$B,MATCH(I23,'HPP &amp; Harga Jual'!$A:$A,0))</f>
        <v>Americano (Es)</v>
      </c>
      <c r="C23" s="15" t="str">
        <f>INDEX('Master Bahan Baku'!$A:$A,MATCH(D23,'Master Bahan Baku'!$B:$B,0))</f>
        <v>B16</v>
      </c>
      <c r="D23" s="23" t="s">
        <v>81</v>
      </c>
      <c r="E23" s="22">
        <v>1</v>
      </c>
      <c r="F23" s="15" t="s">
        <v>79</v>
      </c>
      <c r="G23" s="29">
        <f>INDEX('Master Bahan Baku'!$H:$H,MATCH(C23,'Master Bahan Baku'!$A:$A,0))</f>
        <v>100</v>
      </c>
      <c r="H23" s="30">
        <f t="shared" si="0"/>
        <v>100</v>
      </c>
      <c r="I23" s="31">
        <f t="shared" si="1"/>
        <v>3</v>
      </c>
    </row>
    <row r="24" spans="1:9" ht="15" customHeight="1" x14ac:dyDescent="0.2">
      <c r="A24" s="15">
        <v>4</v>
      </c>
      <c r="B24" s="16" t="str">
        <f>INDEX('HPP &amp; Harga Jual'!$B:$B,MATCH(I24,'HPP &amp; Harga Jual'!$A:$A,0))</f>
        <v>Cappuccino (Panas)</v>
      </c>
      <c r="C24" s="15" t="str">
        <f>INDEX('Master Bahan Baku'!$A:$A,MATCH(D24,'Master Bahan Baku'!$B:$B,0))</f>
        <v>B02</v>
      </c>
      <c r="D24" s="23" t="s">
        <v>56</v>
      </c>
      <c r="E24" s="22">
        <v>18</v>
      </c>
      <c r="F24" s="15" t="s">
        <v>54</v>
      </c>
      <c r="G24" s="29">
        <f>INDEX('Master Bahan Baku'!$H:$H,MATCH(C24,'Master Bahan Baku'!$A:$A,0))</f>
        <v>200</v>
      </c>
      <c r="H24" s="30">
        <f t="shared" si="0"/>
        <v>3600</v>
      </c>
      <c r="I24" s="31">
        <f t="shared" si="1"/>
        <v>4</v>
      </c>
    </row>
    <row r="25" spans="1:9" ht="15" customHeight="1" x14ac:dyDescent="0.2">
      <c r="A25" s="15"/>
      <c r="B25" s="16" t="str">
        <f>INDEX('HPP &amp; Harga Jual'!$B:$B,MATCH(I25,'HPP &amp; Harga Jual'!$A:$A,0))</f>
        <v>Cappuccino (Panas)</v>
      </c>
      <c r="C25" s="15" t="str">
        <f>INDEX('Master Bahan Baku'!$A:$A,MATCH(D25,'Master Bahan Baku'!$B:$B,0))</f>
        <v>B03</v>
      </c>
      <c r="D25" s="23" t="s">
        <v>58</v>
      </c>
      <c r="E25" s="22">
        <v>100</v>
      </c>
      <c r="F25" s="15" t="s">
        <v>61</v>
      </c>
      <c r="G25" s="29">
        <f>INDEX('Master Bahan Baku'!$H:$H,MATCH(C25,'Master Bahan Baku'!$A:$A,0))</f>
        <v>22</v>
      </c>
      <c r="H25" s="30">
        <f t="shared" si="0"/>
        <v>2200</v>
      </c>
      <c r="I25" s="31">
        <f t="shared" si="1"/>
        <v>4</v>
      </c>
    </row>
    <row r="26" spans="1:9" ht="15" customHeight="1" x14ac:dyDescent="0.2">
      <c r="A26" s="15"/>
      <c r="B26" s="16" t="str">
        <f>INDEX('HPP &amp; Harga Jual'!$B:$B,MATCH(I26,'HPP &amp; Harga Jual'!$A:$A,0))</f>
        <v>Cappuccino (Panas)</v>
      </c>
      <c r="C26" s="15" t="str">
        <f>INDEX('Master Bahan Baku'!$A:$A,MATCH(D26,'Master Bahan Baku'!$B:$B,0))</f>
        <v>B20</v>
      </c>
      <c r="D26" s="23" t="s">
        <v>85</v>
      </c>
      <c r="E26" s="22">
        <v>25</v>
      </c>
      <c r="F26" s="15" t="s">
        <v>54</v>
      </c>
      <c r="G26" s="29">
        <f>INDEX('Master Bahan Baku'!$H:$H,MATCH(C26,'Master Bahan Baku'!$A:$A,0))</f>
        <v>55</v>
      </c>
      <c r="H26" s="30">
        <f t="shared" si="0"/>
        <v>1375</v>
      </c>
      <c r="I26" s="31">
        <f t="shared" si="1"/>
        <v>4</v>
      </c>
    </row>
    <row r="27" spans="1:9" ht="15" customHeight="1" x14ac:dyDescent="0.2">
      <c r="A27" s="15"/>
      <c r="B27" s="16" t="str">
        <f>INDEX('HPP &amp; Harga Jual'!$B:$B,MATCH(I27,'HPP &amp; Harga Jual'!$A:$A,0))</f>
        <v>Cappuccino (Panas)</v>
      </c>
      <c r="C27" s="15" t="str">
        <f>INDEX('Master Bahan Baku'!$A:$A,MATCH(D27,'Master Bahan Baku'!$B:$B,0))</f>
        <v>B14</v>
      </c>
      <c r="D27" s="23" t="s">
        <v>77</v>
      </c>
      <c r="E27" s="22">
        <v>1</v>
      </c>
      <c r="F27" s="15" t="s">
        <v>79</v>
      </c>
      <c r="G27" s="29">
        <f>INDEX('Master Bahan Baku'!$H:$H,MATCH(C27,'Master Bahan Baku'!$A:$A,0))</f>
        <v>850</v>
      </c>
      <c r="H27" s="30">
        <f t="shared" si="0"/>
        <v>850</v>
      </c>
      <c r="I27" s="31">
        <f t="shared" si="1"/>
        <v>4</v>
      </c>
    </row>
    <row r="28" spans="1:9" ht="15" customHeight="1" x14ac:dyDescent="0.2">
      <c r="A28" s="15">
        <v>5</v>
      </c>
      <c r="B28" s="16" t="str">
        <f>INDEX('HPP &amp; Harga Jual'!$B:$B,MATCH(I28,'HPP &amp; Harga Jual'!$A:$A,0))</f>
        <v>Matcha</v>
      </c>
      <c r="C28" s="15" t="str">
        <f>INDEX('Master Bahan Baku'!$A:$A,MATCH(D28,'Master Bahan Baku'!$B:$B,0))</f>
        <v>B09</v>
      </c>
      <c r="D28" s="23" t="s">
        <v>71</v>
      </c>
      <c r="E28" s="22">
        <v>8</v>
      </c>
      <c r="F28" s="15" t="s">
        <v>54</v>
      </c>
      <c r="G28" s="29">
        <f>INDEX('Master Bahan Baku'!$H:$H,MATCH(C28,'Master Bahan Baku'!$A:$A,0))</f>
        <v>1170</v>
      </c>
      <c r="H28" s="30">
        <f t="shared" si="0"/>
        <v>9360</v>
      </c>
      <c r="I28" s="31">
        <f t="shared" si="1"/>
        <v>5</v>
      </c>
    </row>
    <row r="29" spans="1:9" ht="15" customHeight="1" x14ac:dyDescent="0.2">
      <c r="A29" s="15"/>
      <c r="B29" s="16" t="str">
        <f>INDEX('HPP &amp; Harga Jual'!$B:$B,MATCH(I29,'HPP &amp; Harga Jual'!$A:$A,0))</f>
        <v>Matcha</v>
      </c>
      <c r="C29" s="15" t="str">
        <f>INDEX('Master Bahan Baku'!$A:$A,MATCH(D29,'Master Bahan Baku'!$B:$B,0))</f>
        <v>B03</v>
      </c>
      <c r="D29" s="23" t="s">
        <v>58</v>
      </c>
      <c r="E29" s="22">
        <v>100</v>
      </c>
      <c r="F29" s="15" t="s">
        <v>61</v>
      </c>
      <c r="G29" s="29">
        <f>INDEX('Master Bahan Baku'!$H:$H,MATCH(C29,'Master Bahan Baku'!$A:$A,0))</f>
        <v>22</v>
      </c>
      <c r="H29" s="30">
        <f t="shared" si="0"/>
        <v>2200</v>
      </c>
      <c r="I29" s="31">
        <f t="shared" si="1"/>
        <v>5</v>
      </c>
    </row>
    <row r="30" spans="1:9" ht="15" customHeight="1" x14ac:dyDescent="0.2">
      <c r="A30" s="15"/>
      <c r="B30" s="16" t="str">
        <f>INDEX('HPP &amp; Harga Jual'!$B:$B,MATCH(I30,'HPP &amp; Harga Jual'!$A:$A,0))</f>
        <v>Matcha</v>
      </c>
      <c r="C30" s="15" t="str">
        <f>INDEX('Master Bahan Baku'!$A:$A,MATCH(D30,'Master Bahan Baku'!$B:$B,0))</f>
        <v>B20</v>
      </c>
      <c r="D30" s="23" t="s">
        <v>85</v>
      </c>
      <c r="E30" s="22">
        <v>10</v>
      </c>
      <c r="F30" s="15" t="s">
        <v>54</v>
      </c>
      <c r="G30" s="29">
        <f>INDEX('Master Bahan Baku'!$H:$H,MATCH(C30,'Master Bahan Baku'!$A:$A,0))</f>
        <v>55</v>
      </c>
      <c r="H30" s="30">
        <f t="shared" si="0"/>
        <v>550</v>
      </c>
      <c r="I30" s="31">
        <f t="shared" si="1"/>
        <v>5</v>
      </c>
    </row>
    <row r="31" spans="1:9" ht="15" customHeight="1" x14ac:dyDescent="0.2">
      <c r="A31" s="15"/>
      <c r="B31" s="16" t="str">
        <f>INDEX('HPP &amp; Harga Jual'!$B:$B,MATCH(I31,'HPP &amp; Harga Jual'!$A:$A,0))</f>
        <v>Matcha</v>
      </c>
      <c r="C31" s="15" t="str">
        <f>INDEX('Master Bahan Baku'!$A:$A,MATCH(D31,'Master Bahan Baku'!$B:$B,0))</f>
        <v>B06</v>
      </c>
      <c r="D31" s="23" t="s">
        <v>66</v>
      </c>
      <c r="E31" s="22">
        <v>20</v>
      </c>
      <c r="F31" s="15" t="s">
        <v>61</v>
      </c>
      <c r="G31" s="29">
        <f>INDEX('Master Bahan Baku'!$H:$H,MATCH(C31,'Master Bahan Baku'!$A:$A,0))</f>
        <v>15</v>
      </c>
      <c r="H31" s="30">
        <f t="shared" si="0"/>
        <v>300</v>
      </c>
      <c r="I31" s="31">
        <f t="shared" si="1"/>
        <v>5</v>
      </c>
    </row>
    <row r="32" spans="1:9" ht="15" customHeight="1" x14ac:dyDescent="0.2">
      <c r="A32" s="15"/>
      <c r="B32" s="16" t="str">
        <f>INDEX('HPP &amp; Harga Jual'!$B:$B,MATCH(I32,'HPP &amp; Harga Jual'!$A:$A,0))</f>
        <v>Matcha</v>
      </c>
      <c r="C32" s="15" t="str">
        <f>INDEX('Master Bahan Baku'!$A:$A,MATCH(D32,'Master Bahan Baku'!$B:$B,0))</f>
        <v>B13</v>
      </c>
      <c r="D32" s="23" t="s">
        <v>74</v>
      </c>
      <c r="E32" s="22">
        <v>100</v>
      </c>
      <c r="F32" s="15" t="s">
        <v>54</v>
      </c>
      <c r="G32" s="29">
        <f>INDEX('Master Bahan Baku'!$H:$H,MATCH(C32,'Master Bahan Baku'!$A:$A,0))</f>
        <v>3</v>
      </c>
      <c r="H32" s="30">
        <f t="shared" si="0"/>
        <v>300</v>
      </c>
      <c r="I32" s="31">
        <f t="shared" si="1"/>
        <v>5</v>
      </c>
    </row>
    <row r="33" spans="1:9" ht="15" customHeight="1" x14ac:dyDescent="0.2">
      <c r="A33" s="15"/>
      <c r="B33" s="16" t="str">
        <f>INDEX('HPP &amp; Harga Jual'!$B:$B,MATCH(I33,'HPP &amp; Harga Jual'!$A:$A,0))</f>
        <v>Matcha</v>
      </c>
      <c r="C33" s="15" t="str">
        <f>INDEX('Master Bahan Baku'!$A:$A,MATCH(D33,'Master Bahan Baku'!$B:$B,0))</f>
        <v>B14</v>
      </c>
      <c r="D33" s="23" t="s">
        <v>77</v>
      </c>
      <c r="E33" s="22">
        <v>1</v>
      </c>
      <c r="F33" s="15" t="s">
        <v>79</v>
      </c>
      <c r="G33" s="29">
        <f>INDEX('Master Bahan Baku'!$H:$H,MATCH(C33,'Master Bahan Baku'!$A:$A,0))</f>
        <v>850</v>
      </c>
      <c r="H33" s="30">
        <f t="shared" si="0"/>
        <v>850</v>
      </c>
      <c r="I33" s="31">
        <f t="shared" si="1"/>
        <v>5</v>
      </c>
    </row>
    <row r="34" spans="1:9" ht="15" customHeight="1" x14ac:dyDescent="0.2">
      <c r="A34" s="15"/>
      <c r="B34" s="16" t="str">
        <f>INDEX('HPP &amp; Harga Jual'!$B:$B,MATCH(I34,'HPP &amp; Harga Jual'!$A:$A,0))</f>
        <v>Matcha</v>
      </c>
      <c r="C34" s="15" t="str">
        <f>INDEX('Master Bahan Baku'!$A:$A,MATCH(D34,'Master Bahan Baku'!$B:$B,0))</f>
        <v>B16</v>
      </c>
      <c r="D34" s="23" t="s">
        <v>81</v>
      </c>
      <c r="E34" s="22">
        <v>1</v>
      </c>
      <c r="F34" s="15" t="s">
        <v>79</v>
      </c>
      <c r="G34" s="29">
        <f>INDEX('Master Bahan Baku'!$H:$H,MATCH(C34,'Master Bahan Baku'!$A:$A,0))</f>
        <v>100</v>
      </c>
      <c r="H34" s="30">
        <f t="shared" si="0"/>
        <v>100</v>
      </c>
      <c r="I34" s="31">
        <f t="shared" si="1"/>
        <v>5</v>
      </c>
    </row>
    <row r="35" spans="1:9" ht="15" customHeight="1" x14ac:dyDescent="0.2">
      <c r="A35" s="15">
        <v>6</v>
      </c>
      <c r="B35" s="16" t="str">
        <f>INDEX('HPP &amp; Harga Jual'!$B:$B,MATCH(I35,'HPP &amp; Harga Jual'!$A:$A,0))</f>
        <v>Kopsu Singgah Aren</v>
      </c>
      <c r="C35" s="15" t="str">
        <f>INDEX('Master Bahan Baku'!$A:$A,MATCH(D35,'Master Bahan Baku'!$B:$B,0))</f>
        <v>B02</v>
      </c>
      <c r="D35" s="23" t="s">
        <v>56</v>
      </c>
      <c r="E35" s="22">
        <v>18</v>
      </c>
      <c r="F35" s="15" t="s">
        <v>54</v>
      </c>
      <c r="G35" s="29">
        <f>INDEX('Master Bahan Baku'!$H:$H,MATCH(C35,'Master Bahan Baku'!$A:$A,0))</f>
        <v>200</v>
      </c>
      <c r="H35" s="30">
        <f t="shared" si="0"/>
        <v>3600</v>
      </c>
      <c r="I35" s="31">
        <f t="shared" si="1"/>
        <v>6</v>
      </c>
    </row>
    <row r="36" spans="1:9" ht="15" customHeight="1" x14ac:dyDescent="0.2">
      <c r="A36" s="15"/>
      <c r="B36" s="16" t="str">
        <f>INDEX('HPP &amp; Harga Jual'!$B:$B,MATCH(I36,'HPP &amp; Harga Jual'!$A:$A,0))</f>
        <v>Kopsu Singgah Aren</v>
      </c>
      <c r="C36" s="15" t="str">
        <f>INDEX('Master Bahan Baku'!$A:$A,MATCH(D36,'Master Bahan Baku'!$B:$B,0))</f>
        <v>B03</v>
      </c>
      <c r="D36" s="23" t="s">
        <v>58</v>
      </c>
      <c r="E36" s="22">
        <v>100</v>
      </c>
      <c r="F36" s="15" t="s">
        <v>61</v>
      </c>
      <c r="G36" s="29">
        <f>INDEX('Master Bahan Baku'!$H:$H,MATCH(C36,'Master Bahan Baku'!$A:$A,0))</f>
        <v>22</v>
      </c>
      <c r="H36" s="30">
        <f t="shared" si="0"/>
        <v>2200</v>
      </c>
      <c r="I36" s="31">
        <f t="shared" si="1"/>
        <v>6</v>
      </c>
    </row>
    <row r="37" spans="1:9" ht="15" customHeight="1" x14ac:dyDescent="0.2">
      <c r="A37" s="15"/>
      <c r="B37" s="16" t="str">
        <f>INDEX('HPP &amp; Harga Jual'!$B:$B,MATCH(I37,'HPP &amp; Harga Jual'!$A:$A,0))</f>
        <v>Kopsu Singgah Aren</v>
      </c>
      <c r="C37" s="15" t="str">
        <f>INDEX('Master Bahan Baku'!$A:$A,MATCH(D37,'Master Bahan Baku'!$B:$B,0))</f>
        <v>B20</v>
      </c>
      <c r="D37" s="23" t="s">
        <v>85</v>
      </c>
      <c r="E37" s="22">
        <v>25</v>
      </c>
      <c r="F37" s="15" t="s">
        <v>54</v>
      </c>
      <c r="G37" s="29">
        <f>INDEX('Master Bahan Baku'!$H:$H,MATCH(C37,'Master Bahan Baku'!$A:$A,0))</f>
        <v>55</v>
      </c>
      <c r="H37" s="30">
        <f t="shared" ref="H37:H68" si="2">E37*G37</f>
        <v>1375</v>
      </c>
      <c r="I37" s="31">
        <f t="shared" si="1"/>
        <v>6</v>
      </c>
    </row>
    <row r="38" spans="1:9" ht="15" customHeight="1" x14ac:dyDescent="0.2">
      <c r="A38" s="15"/>
      <c r="B38" s="16" t="str">
        <f>INDEX('HPP &amp; Harga Jual'!$B:$B,MATCH(I38,'HPP &amp; Harga Jual'!$A:$A,0))</f>
        <v>Kopsu Singgah Aren</v>
      </c>
      <c r="C38" s="15" t="str">
        <f>INDEX('Master Bahan Baku'!$A:$A,MATCH(D38,'Master Bahan Baku'!$B:$B,0))</f>
        <v>B05</v>
      </c>
      <c r="D38" s="23" t="s">
        <v>63</v>
      </c>
      <c r="E38" s="22">
        <v>30</v>
      </c>
      <c r="F38" s="15" t="s">
        <v>61</v>
      </c>
      <c r="G38" s="29">
        <f>INDEX('Master Bahan Baku'!$H:$H,MATCH(C38,'Master Bahan Baku'!$A:$A,0))</f>
        <v>35</v>
      </c>
      <c r="H38" s="30">
        <f t="shared" si="2"/>
        <v>1050</v>
      </c>
      <c r="I38" s="31">
        <f t="shared" ref="I38:I68" si="3">IF(A38&lt;&gt;"",A38,I37)</f>
        <v>6</v>
      </c>
    </row>
    <row r="39" spans="1:9" ht="15" customHeight="1" x14ac:dyDescent="0.2">
      <c r="A39" s="15"/>
      <c r="B39" s="16" t="str">
        <f>INDEX('HPP &amp; Harga Jual'!$B:$B,MATCH(I39,'HPP &amp; Harga Jual'!$A:$A,0))</f>
        <v>Kopsu Singgah Aren</v>
      </c>
      <c r="C39" s="15" t="str">
        <f>INDEX('Master Bahan Baku'!$A:$A,MATCH(D39,'Master Bahan Baku'!$B:$B,0))</f>
        <v>B08</v>
      </c>
      <c r="D39" s="23" t="s">
        <v>68</v>
      </c>
      <c r="E39" s="22">
        <v>1</v>
      </c>
      <c r="F39" s="15" t="s">
        <v>54</v>
      </c>
      <c r="G39" s="29">
        <f>INDEX('Master Bahan Baku'!$H:$H,MATCH(C39,'Master Bahan Baku'!$A:$A,0))</f>
        <v>20</v>
      </c>
      <c r="H39" s="30">
        <f t="shared" si="2"/>
        <v>20</v>
      </c>
      <c r="I39" s="31">
        <f t="shared" si="3"/>
        <v>6</v>
      </c>
    </row>
    <row r="40" spans="1:9" ht="15" customHeight="1" x14ac:dyDescent="0.2">
      <c r="A40" s="15"/>
      <c r="B40" s="16" t="str">
        <f>INDEX('HPP &amp; Harga Jual'!$B:$B,MATCH(I40,'HPP &amp; Harga Jual'!$A:$A,0))</f>
        <v>Kopsu Singgah Aren</v>
      </c>
      <c r="C40" s="15" t="str">
        <f>INDEX('Master Bahan Baku'!$A:$A,MATCH(D40,'Master Bahan Baku'!$B:$B,0))</f>
        <v>B13</v>
      </c>
      <c r="D40" s="23" t="s">
        <v>74</v>
      </c>
      <c r="E40" s="22">
        <v>100</v>
      </c>
      <c r="F40" s="15" t="s">
        <v>54</v>
      </c>
      <c r="G40" s="29">
        <f>INDEX('Master Bahan Baku'!$H:$H,MATCH(C40,'Master Bahan Baku'!$A:$A,0))</f>
        <v>3</v>
      </c>
      <c r="H40" s="30">
        <f t="shared" si="2"/>
        <v>300</v>
      </c>
      <c r="I40" s="31">
        <f t="shared" si="3"/>
        <v>6</v>
      </c>
    </row>
    <row r="41" spans="1:9" ht="15" customHeight="1" x14ac:dyDescent="0.2">
      <c r="A41" s="15"/>
      <c r="B41" s="16" t="str">
        <f>INDEX('HPP &amp; Harga Jual'!$B:$B,MATCH(I41,'HPP &amp; Harga Jual'!$A:$A,0))</f>
        <v>Kopsu Singgah Aren</v>
      </c>
      <c r="C41" s="15" t="str">
        <f>INDEX('Master Bahan Baku'!$A:$A,MATCH(D41,'Master Bahan Baku'!$B:$B,0))</f>
        <v>B14</v>
      </c>
      <c r="D41" s="23" t="s">
        <v>77</v>
      </c>
      <c r="E41" s="22">
        <v>1</v>
      </c>
      <c r="F41" s="15" t="s">
        <v>79</v>
      </c>
      <c r="G41" s="29">
        <f>INDEX('Master Bahan Baku'!$H:$H,MATCH(C41,'Master Bahan Baku'!$A:$A,0))</f>
        <v>850</v>
      </c>
      <c r="H41" s="30">
        <f t="shared" si="2"/>
        <v>850</v>
      </c>
      <c r="I41" s="31">
        <f t="shared" si="3"/>
        <v>6</v>
      </c>
    </row>
    <row r="42" spans="1:9" ht="15" customHeight="1" x14ac:dyDescent="0.2">
      <c r="A42" s="15"/>
      <c r="B42" s="16" t="str">
        <f>INDEX('HPP &amp; Harga Jual'!$B:$B,MATCH(I42,'HPP &amp; Harga Jual'!$A:$A,0))</f>
        <v>Kopsu Singgah Aren</v>
      </c>
      <c r="C42" s="15" t="str">
        <f>INDEX('Master Bahan Baku'!$A:$A,MATCH(D42,'Master Bahan Baku'!$B:$B,0))</f>
        <v>B16</v>
      </c>
      <c r="D42" s="23" t="s">
        <v>81</v>
      </c>
      <c r="E42" s="22">
        <v>1</v>
      </c>
      <c r="F42" s="15" t="s">
        <v>79</v>
      </c>
      <c r="G42" s="29">
        <f>INDEX('Master Bahan Baku'!$H:$H,MATCH(C42,'Master Bahan Baku'!$A:$A,0))</f>
        <v>100</v>
      </c>
      <c r="H42" s="30">
        <f t="shared" si="2"/>
        <v>100</v>
      </c>
      <c r="I42" s="31">
        <f t="shared" si="3"/>
        <v>6</v>
      </c>
    </row>
    <row r="43" spans="1:9" ht="15" customHeight="1" x14ac:dyDescent="0.2">
      <c r="A43" s="15">
        <v>7</v>
      </c>
      <c r="B43" s="16" t="str">
        <f>INDEX('HPP &amp; Harga Jual'!$B:$B,MATCH(I43,'HPP &amp; Harga Jual'!$A:$A,0))</f>
        <v>Butterscotch Latte</v>
      </c>
      <c r="C43" s="15" t="str">
        <f>INDEX('Master Bahan Baku'!$A:$A,MATCH(D43,'Master Bahan Baku'!$B:$B,0))</f>
        <v>B02</v>
      </c>
      <c r="D43" s="23" t="s">
        <v>56</v>
      </c>
      <c r="E43" s="22">
        <v>18</v>
      </c>
      <c r="F43" s="15" t="s">
        <v>54</v>
      </c>
      <c r="G43" s="29">
        <f>INDEX('Master Bahan Baku'!$H:$H,MATCH(C43,'Master Bahan Baku'!$A:$A,0))</f>
        <v>200</v>
      </c>
      <c r="H43" s="30">
        <f t="shared" si="2"/>
        <v>3600</v>
      </c>
      <c r="I43" s="31">
        <f t="shared" si="3"/>
        <v>7</v>
      </c>
    </row>
    <row r="44" spans="1:9" ht="15" customHeight="1" x14ac:dyDescent="0.2">
      <c r="A44" s="15"/>
      <c r="B44" s="16" t="str">
        <f>INDEX('HPP &amp; Harga Jual'!$B:$B,MATCH(I44,'HPP &amp; Harga Jual'!$A:$A,0))</f>
        <v>Butterscotch Latte</v>
      </c>
      <c r="C44" s="15" t="str">
        <f>INDEX('Master Bahan Baku'!$A:$A,MATCH(D44,'Master Bahan Baku'!$B:$B,0))</f>
        <v>B03</v>
      </c>
      <c r="D44" s="23" t="s">
        <v>58</v>
      </c>
      <c r="E44" s="22">
        <v>100</v>
      </c>
      <c r="F44" s="15" t="s">
        <v>61</v>
      </c>
      <c r="G44" s="29">
        <f>INDEX('Master Bahan Baku'!$H:$H,MATCH(C44,'Master Bahan Baku'!$A:$A,0))</f>
        <v>22</v>
      </c>
      <c r="H44" s="30">
        <f t="shared" si="2"/>
        <v>2200</v>
      </c>
      <c r="I44" s="31">
        <f t="shared" si="3"/>
        <v>7</v>
      </c>
    </row>
    <row r="45" spans="1:9" ht="15" customHeight="1" x14ac:dyDescent="0.2">
      <c r="A45" s="15"/>
      <c r="B45" s="16" t="str">
        <f>INDEX('HPP &amp; Harga Jual'!$B:$B,MATCH(I45,'HPP &amp; Harga Jual'!$A:$A,0))</f>
        <v>Butterscotch Latte</v>
      </c>
      <c r="C45" s="15" t="str">
        <f>INDEX('Master Bahan Baku'!$A:$A,MATCH(D45,'Master Bahan Baku'!$B:$B,0))</f>
        <v>B20</v>
      </c>
      <c r="D45" s="23" t="s">
        <v>85</v>
      </c>
      <c r="E45" s="22">
        <v>25</v>
      </c>
      <c r="F45" s="15" t="s">
        <v>54</v>
      </c>
      <c r="G45" s="29">
        <f>INDEX('Master Bahan Baku'!$H:$H,MATCH(C45,'Master Bahan Baku'!$A:$A,0))</f>
        <v>55</v>
      </c>
      <c r="H45" s="30">
        <f t="shared" si="2"/>
        <v>1375</v>
      </c>
      <c r="I45" s="31">
        <f t="shared" si="3"/>
        <v>7</v>
      </c>
    </row>
    <row r="46" spans="1:9" ht="15" customHeight="1" x14ac:dyDescent="0.2">
      <c r="A46" s="15"/>
      <c r="B46" s="16" t="str">
        <f>INDEX('HPP &amp; Harga Jual'!$B:$B,MATCH(I46,'HPP &amp; Harga Jual'!$A:$A,0))</f>
        <v>Butterscotch Latte</v>
      </c>
      <c r="C46" s="15" t="str">
        <f>INDEX('Master Bahan Baku'!$A:$A,MATCH(D46,'Master Bahan Baku'!$B:$B,0))</f>
        <v>B18</v>
      </c>
      <c r="D46" s="23" t="s">
        <v>83</v>
      </c>
      <c r="E46" s="22">
        <v>25</v>
      </c>
      <c r="F46" s="15" t="s">
        <v>61</v>
      </c>
      <c r="G46" s="29">
        <f>INDEX('Master Bahan Baku'!$H:$H,MATCH(C46,'Master Bahan Baku'!$A:$A,0))</f>
        <v>48</v>
      </c>
      <c r="H46" s="30">
        <f t="shared" si="2"/>
        <v>1200</v>
      </c>
      <c r="I46" s="31">
        <f t="shared" si="3"/>
        <v>7</v>
      </c>
    </row>
    <row r="47" spans="1:9" ht="15" customHeight="1" x14ac:dyDescent="0.2">
      <c r="A47" s="15"/>
      <c r="B47" s="16" t="str">
        <f>INDEX('HPP &amp; Harga Jual'!$B:$B,MATCH(I47,'HPP &amp; Harga Jual'!$A:$A,0))</f>
        <v>Butterscotch Latte</v>
      </c>
      <c r="C47" s="15" t="str">
        <f>INDEX('Master Bahan Baku'!$A:$A,MATCH(D47,'Master Bahan Baku'!$B:$B,0))</f>
        <v>B13</v>
      </c>
      <c r="D47" s="23" t="s">
        <v>74</v>
      </c>
      <c r="E47" s="22">
        <v>100</v>
      </c>
      <c r="F47" s="15" t="s">
        <v>54</v>
      </c>
      <c r="G47" s="29">
        <f>INDEX('Master Bahan Baku'!$H:$H,MATCH(C47,'Master Bahan Baku'!$A:$A,0))</f>
        <v>3</v>
      </c>
      <c r="H47" s="30">
        <f t="shared" si="2"/>
        <v>300</v>
      </c>
      <c r="I47" s="31">
        <f t="shared" si="3"/>
        <v>7</v>
      </c>
    </row>
    <row r="48" spans="1:9" ht="15" customHeight="1" x14ac:dyDescent="0.2">
      <c r="A48" s="15"/>
      <c r="B48" s="16" t="str">
        <f>INDEX('HPP &amp; Harga Jual'!$B:$B,MATCH(I48,'HPP &amp; Harga Jual'!$A:$A,0))</f>
        <v>Butterscotch Latte</v>
      </c>
      <c r="C48" s="15" t="str">
        <f>INDEX('Master Bahan Baku'!$A:$A,MATCH(D48,'Master Bahan Baku'!$B:$B,0))</f>
        <v>B14</v>
      </c>
      <c r="D48" s="23" t="s">
        <v>77</v>
      </c>
      <c r="E48" s="22">
        <v>1</v>
      </c>
      <c r="F48" s="15" t="s">
        <v>79</v>
      </c>
      <c r="G48" s="29">
        <f>INDEX('Master Bahan Baku'!$H:$H,MATCH(C48,'Master Bahan Baku'!$A:$A,0))</f>
        <v>850</v>
      </c>
      <c r="H48" s="30">
        <f t="shared" si="2"/>
        <v>850</v>
      </c>
      <c r="I48" s="31">
        <f t="shared" si="3"/>
        <v>7</v>
      </c>
    </row>
    <row r="49" spans="1:9" ht="15" customHeight="1" x14ac:dyDescent="0.2">
      <c r="A49" s="15"/>
      <c r="B49" s="16" t="str">
        <f>INDEX('HPP &amp; Harga Jual'!$B:$B,MATCH(I49,'HPP &amp; Harga Jual'!$A:$A,0))</f>
        <v>Butterscotch Latte</v>
      </c>
      <c r="C49" s="15" t="str">
        <f>INDEX('Master Bahan Baku'!$A:$A,MATCH(D49,'Master Bahan Baku'!$B:$B,0))</f>
        <v>B16</v>
      </c>
      <c r="D49" s="23" t="s">
        <v>81</v>
      </c>
      <c r="E49" s="22">
        <v>1</v>
      </c>
      <c r="F49" s="15" t="s">
        <v>79</v>
      </c>
      <c r="G49" s="29">
        <f>INDEX('Master Bahan Baku'!$H:$H,MATCH(C49,'Master Bahan Baku'!$A:$A,0))</f>
        <v>100</v>
      </c>
      <c r="H49" s="30">
        <f t="shared" si="2"/>
        <v>100</v>
      </c>
      <c r="I49" s="31">
        <f t="shared" si="3"/>
        <v>7</v>
      </c>
    </row>
    <row r="50" spans="1:9" ht="15" customHeight="1" x14ac:dyDescent="0.2">
      <c r="A50" s="15">
        <v>8</v>
      </c>
      <c r="B50" s="16" t="str">
        <f>INDEX('HPP &amp; Harga Jual'!$B:$B,MATCH(I50,'HPP &amp; Harga Jual'!$A:$A,0))</f>
        <v>Kopsu Singgah</v>
      </c>
      <c r="C50" s="15" t="str">
        <f>INDEX('Master Bahan Baku'!$A:$A,MATCH(D50,'Master Bahan Baku'!$B:$B,0))</f>
        <v>B02</v>
      </c>
      <c r="D50" s="23" t="s">
        <v>56</v>
      </c>
      <c r="E50" s="22">
        <v>18</v>
      </c>
      <c r="F50" s="15" t="s">
        <v>54</v>
      </c>
      <c r="G50" s="29">
        <f>INDEX('Master Bahan Baku'!$H:$H,MATCH(C50,'Master Bahan Baku'!$A:$A,0))</f>
        <v>200</v>
      </c>
      <c r="H50" s="30">
        <f t="shared" si="2"/>
        <v>3600</v>
      </c>
      <c r="I50" s="31">
        <f t="shared" si="3"/>
        <v>8</v>
      </c>
    </row>
    <row r="51" spans="1:9" ht="15" customHeight="1" x14ac:dyDescent="0.2">
      <c r="A51" s="15"/>
      <c r="B51" s="16" t="str">
        <f>INDEX('HPP &amp; Harga Jual'!$B:$B,MATCH(I51,'HPP &amp; Harga Jual'!$A:$A,0))</f>
        <v>Kopsu Singgah</v>
      </c>
      <c r="C51" s="15" t="str">
        <f>INDEX('Master Bahan Baku'!$A:$A,MATCH(D51,'Master Bahan Baku'!$B:$B,0))</f>
        <v>B03</v>
      </c>
      <c r="D51" s="23" t="s">
        <v>58</v>
      </c>
      <c r="E51" s="22">
        <v>100</v>
      </c>
      <c r="F51" s="15" t="s">
        <v>61</v>
      </c>
      <c r="G51" s="29">
        <f>INDEX('Master Bahan Baku'!$H:$H,MATCH(C51,'Master Bahan Baku'!$A:$A,0))</f>
        <v>22</v>
      </c>
      <c r="H51" s="30">
        <f t="shared" si="2"/>
        <v>2200</v>
      </c>
      <c r="I51" s="31">
        <f t="shared" si="3"/>
        <v>8</v>
      </c>
    </row>
    <row r="52" spans="1:9" ht="15" customHeight="1" x14ac:dyDescent="0.2">
      <c r="A52" s="15"/>
      <c r="B52" s="16" t="str">
        <f>INDEX('HPP &amp; Harga Jual'!$B:$B,MATCH(I52,'HPP &amp; Harga Jual'!$A:$A,0))</f>
        <v>Kopsu Singgah</v>
      </c>
      <c r="C52" s="15" t="str">
        <f>INDEX('Master Bahan Baku'!$A:$A,MATCH(D52,'Master Bahan Baku'!$B:$B,0))</f>
        <v>B20</v>
      </c>
      <c r="D52" s="23" t="s">
        <v>85</v>
      </c>
      <c r="E52" s="22">
        <v>25</v>
      </c>
      <c r="F52" s="15" t="s">
        <v>54</v>
      </c>
      <c r="G52" s="29">
        <f>INDEX('Master Bahan Baku'!$H:$H,MATCH(C52,'Master Bahan Baku'!$A:$A,0))</f>
        <v>55</v>
      </c>
      <c r="H52" s="30">
        <f t="shared" si="2"/>
        <v>1375</v>
      </c>
      <c r="I52" s="31">
        <f t="shared" si="3"/>
        <v>8</v>
      </c>
    </row>
    <row r="53" spans="1:9" ht="15" customHeight="1" x14ac:dyDescent="0.2">
      <c r="A53" s="15"/>
      <c r="B53" s="16" t="str">
        <f>INDEX('HPP &amp; Harga Jual'!$B:$B,MATCH(I53,'HPP &amp; Harga Jual'!$A:$A,0))</f>
        <v>Kopsu Singgah</v>
      </c>
      <c r="C53" s="15" t="str">
        <f>INDEX('Master Bahan Baku'!$A:$A,MATCH(D53,'Master Bahan Baku'!$B:$B,0))</f>
        <v>B23</v>
      </c>
      <c r="D53" s="23" t="s">
        <v>89</v>
      </c>
      <c r="E53" s="22">
        <v>20</v>
      </c>
      <c r="F53" s="15" t="s">
        <v>61</v>
      </c>
      <c r="G53" s="29">
        <f>INDEX('Master Bahan Baku'!$H:$H,MATCH(C53,'Master Bahan Baku'!$A:$A,0))</f>
        <v>20</v>
      </c>
      <c r="H53" s="30">
        <f t="shared" si="2"/>
        <v>400</v>
      </c>
      <c r="I53" s="31">
        <f t="shared" si="3"/>
        <v>8</v>
      </c>
    </row>
    <row r="54" spans="1:9" ht="15" customHeight="1" x14ac:dyDescent="0.2">
      <c r="A54" s="15"/>
      <c r="B54" s="16" t="str">
        <f>INDEX('HPP &amp; Harga Jual'!$B:$B,MATCH(I54,'HPP &amp; Harga Jual'!$A:$A,0))</f>
        <v>Kopsu Singgah</v>
      </c>
      <c r="C54" s="15" t="str">
        <f>INDEX('Master Bahan Baku'!$A:$A,MATCH(D54,'Master Bahan Baku'!$B:$B,0))</f>
        <v>B13</v>
      </c>
      <c r="D54" s="23" t="s">
        <v>74</v>
      </c>
      <c r="E54" s="22">
        <v>100</v>
      </c>
      <c r="F54" s="15" t="s">
        <v>54</v>
      </c>
      <c r="G54" s="29">
        <f>INDEX('Master Bahan Baku'!$H:$H,MATCH(C54,'Master Bahan Baku'!$A:$A,0))</f>
        <v>3</v>
      </c>
      <c r="H54" s="30">
        <f t="shared" si="2"/>
        <v>300</v>
      </c>
      <c r="I54" s="31">
        <f t="shared" si="3"/>
        <v>8</v>
      </c>
    </row>
    <row r="55" spans="1:9" ht="15" customHeight="1" x14ac:dyDescent="0.2">
      <c r="A55" s="15"/>
      <c r="B55" s="16" t="str">
        <f>INDEX('HPP &amp; Harga Jual'!$B:$B,MATCH(I55,'HPP &amp; Harga Jual'!$A:$A,0))</f>
        <v>Kopsu Singgah</v>
      </c>
      <c r="C55" s="15" t="str">
        <f>INDEX('Master Bahan Baku'!$A:$A,MATCH(D55,'Master Bahan Baku'!$B:$B,0))</f>
        <v>B14</v>
      </c>
      <c r="D55" s="23" t="s">
        <v>77</v>
      </c>
      <c r="E55" s="22">
        <v>1</v>
      </c>
      <c r="F55" s="15" t="s">
        <v>79</v>
      </c>
      <c r="G55" s="29">
        <f>INDEX('Master Bahan Baku'!$H:$H,MATCH(C55,'Master Bahan Baku'!$A:$A,0))</f>
        <v>850</v>
      </c>
      <c r="H55" s="30">
        <f t="shared" si="2"/>
        <v>850</v>
      </c>
      <c r="I55" s="31">
        <f t="shared" si="3"/>
        <v>8</v>
      </c>
    </row>
    <row r="56" spans="1:9" ht="15" customHeight="1" x14ac:dyDescent="0.2">
      <c r="A56" s="15"/>
      <c r="B56" s="16" t="str">
        <f>INDEX('HPP &amp; Harga Jual'!$B:$B,MATCH(I56,'HPP &amp; Harga Jual'!$A:$A,0))</f>
        <v>Kopsu Singgah</v>
      </c>
      <c r="C56" s="15" t="str">
        <f>INDEX('Master Bahan Baku'!$A:$A,MATCH(D56,'Master Bahan Baku'!$B:$B,0))</f>
        <v>B16</v>
      </c>
      <c r="D56" s="23" t="s">
        <v>81</v>
      </c>
      <c r="E56" s="22">
        <v>1</v>
      </c>
      <c r="F56" s="15" t="s">
        <v>79</v>
      </c>
      <c r="G56" s="29">
        <f>INDEX('Master Bahan Baku'!$H:$H,MATCH(C56,'Master Bahan Baku'!$A:$A,0))</f>
        <v>100</v>
      </c>
      <c r="H56" s="30">
        <f t="shared" si="2"/>
        <v>100</v>
      </c>
      <c r="I56" s="31">
        <f t="shared" si="3"/>
        <v>8</v>
      </c>
    </row>
    <row r="57" spans="1:9" ht="15" customHeight="1" x14ac:dyDescent="0.2">
      <c r="A57" s="15">
        <v>9</v>
      </c>
      <c r="B57" s="16" t="str">
        <f>INDEX('HPP &amp; Harga Jual'!$B:$B,MATCH(I57,'HPP &amp; Harga Jual'!$A:$A,0))</f>
        <v>Oatside Signature</v>
      </c>
      <c r="C57" s="15" t="str">
        <f>INDEX('Master Bahan Baku'!$A:$A,MATCH(D57,'Master Bahan Baku'!$B:$B,0))</f>
        <v>B02</v>
      </c>
      <c r="D57" s="23" t="s">
        <v>56</v>
      </c>
      <c r="E57" s="22">
        <v>15</v>
      </c>
      <c r="F57" s="15" t="s">
        <v>54</v>
      </c>
      <c r="G57" s="29">
        <f>INDEX('Master Bahan Baku'!$H:$H,MATCH(C57,'Master Bahan Baku'!$A:$A,0))</f>
        <v>200</v>
      </c>
      <c r="H57" s="30">
        <f t="shared" si="2"/>
        <v>3000</v>
      </c>
      <c r="I57" s="31">
        <f t="shared" si="3"/>
        <v>9</v>
      </c>
    </row>
    <row r="58" spans="1:9" ht="15" customHeight="1" x14ac:dyDescent="0.2">
      <c r="A58" s="15"/>
      <c r="B58" s="16" t="str">
        <f>INDEX('HPP &amp; Harga Jual'!$B:$B,MATCH(I58,'HPP &amp; Harga Jual'!$A:$A,0))</f>
        <v>Oatside Signature</v>
      </c>
      <c r="C58" s="15" t="str">
        <f>INDEX('Master Bahan Baku'!$A:$A,MATCH(D58,'Master Bahan Baku'!$B:$B,0))</f>
        <v>B22</v>
      </c>
      <c r="D58" s="23" t="s">
        <v>87</v>
      </c>
      <c r="E58" s="22">
        <v>100</v>
      </c>
      <c r="F58" s="15" t="s">
        <v>61</v>
      </c>
      <c r="G58" s="29">
        <f>INDEX('Master Bahan Baku'!$H:$H,MATCH(C58,'Master Bahan Baku'!$A:$A,0))</f>
        <v>38</v>
      </c>
      <c r="H58" s="30">
        <f t="shared" si="2"/>
        <v>3800</v>
      </c>
      <c r="I58" s="31">
        <f t="shared" si="3"/>
        <v>9</v>
      </c>
    </row>
    <row r="59" spans="1:9" ht="15" customHeight="1" x14ac:dyDescent="0.2">
      <c r="A59" s="15"/>
      <c r="B59" s="16" t="str">
        <f>INDEX('HPP &amp; Harga Jual'!$B:$B,MATCH(I59,'HPP &amp; Harga Jual'!$A:$A,0))</f>
        <v>Oatside Signature</v>
      </c>
      <c r="C59" s="15" t="str">
        <f>INDEX('Master Bahan Baku'!$A:$A,MATCH(D59,'Master Bahan Baku'!$B:$B,0))</f>
        <v>B23</v>
      </c>
      <c r="D59" s="23" t="s">
        <v>89</v>
      </c>
      <c r="E59" s="22">
        <v>20</v>
      </c>
      <c r="F59" s="15" t="s">
        <v>61</v>
      </c>
      <c r="G59" s="29">
        <f>INDEX('Master Bahan Baku'!$H:$H,MATCH(C59,'Master Bahan Baku'!$A:$A,0))</f>
        <v>20</v>
      </c>
      <c r="H59" s="30">
        <f t="shared" si="2"/>
        <v>400</v>
      </c>
      <c r="I59" s="31">
        <f t="shared" si="3"/>
        <v>9</v>
      </c>
    </row>
    <row r="60" spans="1:9" ht="15" customHeight="1" x14ac:dyDescent="0.2">
      <c r="A60" s="15"/>
      <c r="B60" s="16" t="str">
        <f>INDEX('HPP &amp; Harga Jual'!$B:$B,MATCH(I60,'HPP &amp; Harga Jual'!$A:$A,0))</f>
        <v>Oatside Signature</v>
      </c>
      <c r="C60" s="15" t="str">
        <f>INDEX('Master Bahan Baku'!$A:$A,MATCH(D60,'Master Bahan Baku'!$B:$B,0))</f>
        <v>B13</v>
      </c>
      <c r="D60" s="23" t="s">
        <v>74</v>
      </c>
      <c r="E60" s="22">
        <v>100</v>
      </c>
      <c r="F60" s="15" t="s">
        <v>54</v>
      </c>
      <c r="G60" s="29">
        <f>INDEX('Master Bahan Baku'!$H:$H,MATCH(C60,'Master Bahan Baku'!$A:$A,0))</f>
        <v>3</v>
      </c>
      <c r="H60" s="30">
        <f t="shared" si="2"/>
        <v>300</v>
      </c>
      <c r="I60" s="31">
        <f t="shared" si="3"/>
        <v>9</v>
      </c>
    </row>
    <row r="61" spans="1:9" ht="15" customHeight="1" x14ac:dyDescent="0.2">
      <c r="A61" s="15"/>
      <c r="B61" s="16" t="str">
        <f>INDEX('HPP &amp; Harga Jual'!$B:$B,MATCH(I61,'HPP &amp; Harga Jual'!$A:$A,0))</f>
        <v>Oatside Signature</v>
      </c>
      <c r="C61" s="15" t="str">
        <f>INDEX('Master Bahan Baku'!$A:$A,MATCH(D61,'Master Bahan Baku'!$B:$B,0))</f>
        <v>B14</v>
      </c>
      <c r="D61" s="23" t="s">
        <v>77</v>
      </c>
      <c r="E61" s="22">
        <v>1</v>
      </c>
      <c r="F61" s="15" t="s">
        <v>79</v>
      </c>
      <c r="G61" s="29">
        <f>INDEX('Master Bahan Baku'!$H:$H,MATCH(C61,'Master Bahan Baku'!$A:$A,0))</f>
        <v>850</v>
      </c>
      <c r="H61" s="30">
        <f t="shared" si="2"/>
        <v>850</v>
      </c>
      <c r="I61" s="31">
        <f t="shared" si="3"/>
        <v>9</v>
      </c>
    </row>
    <row r="62" spans="1:9" ht="15" customHeight="1" x14ac:dyDescent="0.2">
      <c r="A62" s="15"/>
      <c r="B62" s="16" t="str">
        <f>INDEX('HPP &amp; Harga Jual'!$B:$B,MATCH(I62,'HPP &amp; Harga Jual'!$A:$A,0))</f>
        <v>Oatside Signature</v>
      </c>
      <c r="C62" s="15" t="str">
        <f>INDEX('Master Bahan Baku'!$A:$A,MATCH(D62,'Master Bahan Baku'!$B:$B,0))</f>
        <v>B16</v>
      </c>
      <c r="D62" s="23" t="s">
        <v>81</v>
      </c>
      <c r="E62" s="22">
        <v>1</v>
      </c>
      <c r="F62" s="15" t="s">
        <v>79</v>
      </c>
      <c r="G62" s="29">
        <f>INDEX('Master Bahan Baku'!$H:$H,MATCH(C62,'Master Bahan Baku'!$A:$A,0))</f>
        <v>100</v>
      </c>
      <c r="H62" s="30">
        <f t="shared" si="2"/>
        <v>100</v>
      </c>
      <c r="I62" s="31">
        <f t="shared" si="3"/>
        <v>9</v>
      </c>
    </row>
    <row r="63" spans="1:9" ht="15" customHeight="1" x14ac:dyDescent="0.2">
      <c r="A63" s="15">
        <v>10</v>
      </c>
      <c r="B63" s="16" t="str">
        <f>INDEX('HPP &amp; Harga Jual'!$B:$B,MATCH(I63,'HPP &amp; Harga Jual'!$A:$A,0))</f>
        <v>Oatside Signature Gula Aren</v>
      </c>
      <c r="C63" s="15" t="str">
        <f>INDEX('Master Bahan Baku'!$A:$A,MATCH(D63,'Master Bahan Baku'!$B:$B,0))</f>
        <v>B02</v>
      </c>
      <c r="D63" s="23" t="s">
        <v>56</v>
      </c>
      <c r="E63" s="22">
        <v>15</v>
      </c>
      <c r="F63" s="15" t="s">
        <v>54</v>
      </c>
      <c r="G63" s="29">
        <f>INDEX('Master Bahan Baku'!$H:$H,MATCH(C63,'Master Bahan Baku'!$A:$A,0))</f>
        <v>200</v>
      </c>
      <c r="H63" s="30">
        <f t="shared" si="2"/>
        <v>3000</v>
      </c>
      <c r="I63" s="31">
        <f t="shared" si="3"/>
        <v>10</v>
      </c>
    </row>
    <row r="64" spans="1:9" ht="15" customHeight="1" x14ac:dyDescent="0.2">
      <c r="A64" s="15"/>
      <c r="B64" s="16" t="str">
        <f>INDEX('HPP &amp; Harga Jual'!$B:$B,MATCH(I64,'HPP &amp; Harga Jual'!$A:$A,0))</f>
        <v>Oatside Signature Gula Aren</v>
      </c>
      <c r="C64" s="15" t="str">
        <f>INDEX('Master Bahan Baku'!$A:$A,MATCH(D64,'Master Bahan Baku'!$B:$B,0))</f>
        <v>B22</v>
      </c>
      <c r="D64" s="23" t="s">
        <v>87</v>
      </c>
      <c r="E64" s="22">
        <v>100</v>
      </c>
      <c r="F64" s="15" t="s">
        <v>61</v>
      </c>
      <c r="G64" s="29">
        <f>INDEX('Master Bahan Baku'!$H:$H,MATCH(C64,'Master Bahan Baku'!$A:$A,0))</f>
        <v>38</v>
      </c>
      <c r="H64" s="30">
        <f t="shared" si="2"/>
        <v>3800</v>
      </c>
      <c r="I64" s="31">
        <f t="shared" si="3"/>
        <v>10</v>
      </c>
    </row>
    <row r="65" spans="1:9" ht="15" customHeight="1" x14ac:dyDescent="0.2">
      <c r="A65" s="15"/>
      <c r="B65" s="16" t="str">
        <f>INDEX('HPP &amp; Harga Jual'!$B:$B,MATCH(I65,'HPP &amp; Harga Jual'!$A:$A,0))</f>
        <v>Oatside Signature Gula Aren</v>
      </c>
      <c r="C65" s="15" t="str">
        <f>INDEX('Master Bahan Baku'!$A:$A,MATCH(D65,'Master Bahan Baku'!$B:$B,0))</f>
        <v>B05</v>
      </c>
      <c r="D65" s="23" t="s">
        <v>63</v>
      </c>
      <c r="E65" s="22">
        <v>30</v>
      </c>
      <c r="F65" s="15" t="s">
        <v>61</v>
      </c>
      <c r="G65" s="29">
        <f>INDEX('Master Bahan Baku'!$H:$H,MATCH(C65,'Master Bahan Baku'!$A:$A,0))</f>
        <v>35</v>
      </c>
      <c r="H65" s="30">
        <f t="shared" si="2"/>
        <v>1050</v>
      </c>
      <c r="I65" s="31">
        <f t="shared" si="3"/>
        <v>10</v>
      </c>
    </row>
    <row r="66" spans="1:9" ht="15" customHeight="1" x14ac:dyDescent="0.2">
      <c r="A66" s="15"/>
      <c r="B66" s="16" t="str">
        <f>INDEX('HPP &amp; Harga Jual'!$B:$B,MATCH(I66,'HPP &amp; Harga Jual'!$A:$A,0))</f>
        <v>Oatside Signature Gula Aren</v>
      </c>
      <c r="C66" s="15" t="str">
        <f>INDEX('Master Bahan Baku'!$A:$A,MATCH(D66,'Master Bahan Baku'!$B:$B,0))</f>
        <v>B13</v>
      </c>
      <c r="D66" s="23" t="s">
        <v>74</v>
      </c>
      <c r="E66" s="22">
        <v>100</v>
      </c>
      <c r="F66" s="15" t="s">
        <v>54</v>
      </c>
      <c r="G66" s="29">
        <f>INDEX('Master Bahan Baku'!$H:$H,MATCH(C66,'Master Bahan Baku'!$A:$A,0))</f>
        <v>3</v>
      </c>
      <c r="H66" s="30">
        <f t="shared" si="2"/>
        <v>300</v>
      </c>
      <c r="I66" s="31">
        <f t="shared" si="3"/>
        <v>10</v>
      </c>
    </row>
    <row r="67" spans="1:9" ht="15" customHeight="1" x14ac:dyDescent="0.2">
      <c r="A67" s="15"/>
      <c r="B67" s="16" t="str">
        <f>INDEX('HPP &amp; Harga Jual'!$B:$B,MATCH(I67,'HPP &amp; Harga Jual'!$A:$A,0))</f>
        <v>Oatside Signature Gula Aren</v>
      </c>
      <c r="C67" s="15" t="str">
        <f>INDEX('Master Bahan Baku'!$A:$A,MATCH(D67,'Master Bahan Baku'!$B:$B,0))</f>
        <v>B14</v>
      </c>
      <c r="D67" s="23" t="s">
        <v>77</v>
      </c>
      <c r="E67" s="22">
        <v>1</v>
      </c>
      <c r="F67" s="15" t="s">
        <v>79</v>
      </c>
      <c r="G67" s="29">
        <f>INDEX('Master Bahan Baku'!$H:$H,MATCH(C67,'Master Bahan Baku'!$A:$A,0))</f>
        <v>850</v>
      </c>
      <c r="H67" s="30">
        <f t="shared" si="2"/>
        <v>850</v>
      </c>
      <c r="I67" s="31">
        <f t="shared" si="3"/>
        <v>10</v>
      </c>
    </row>
    <row r="68" spans="1:9" ht="15" customHeight="1" x14ac:dyDescent="0.2">
      <c r="A68" s="15"/>
      <c r="B68" s="16" t="str">
        <f>INDEX('HPP &amp; Harga Jual'!$B:$B,MATCH(I68,'HPP &amp; Harga Jual'!$A:$A,0))</f>
        <v>Oatside Signature Gula Aren</v>
      </c>
      <c r="C68" s="15" t="str">
        <f>INDEX('Master Bahan Baku'!$A:$A,MATCH(D68,'Master Bahan Baku'!$B:$B,0))</f>
        <v>B16</v>
      </c>
      <c r="D68" s="23" t="s">
        <v>81</v>
      </c>
      <c r="E68" s="22">
        <v>1</v>
      </c>
      <c r="F68" s="15" t="s">
        <v>79</v>
      </c>
      <c r="G68" s="29">
        <f>INDEX('Master Bahan Baku'!$H:$H,MATCH(C68,'Master Bahan Baku'!$A:$A,0))</f>
        <v>100</v>
      </c>
      <c r="H68" s="30">
        <f t="shared" si="2"/>
        <v>100</v>
      </c>
      <c r="I68" s="31">
        <f t="shared" si="3"/>
        <v>10</v>
      </c>
    </row>
    <row r="69" spans="1:9" ht="15" customHeight="1" x14ac:dyDescent="0.2">
      <c r="A69" s="11"/>
      <c r="B69" s="12"/>
      <c r="C69" s="11"/>
      <c r="D69" s="20"/>
      <c r="E69" s="22"/>
      <c r="F69" s="11"/>
      <c r="G69" s="33"/>
      <c r="H69" s="34"/>
      <c r="I69" s="31"/>
    </row>
    <row r="70" spans="1:9" ht="15" customHeight="1" x14ac:dyDescent="0.2">
      <c r="A70" s="11"/>
      <c r="B70" s="12"/>
      <c r="C70" s="11"/>
      <c r="D70" s="20"/>
      <c r="E70" s="22"/>
      <c r="F70" s="11"/>
      <c r="G70" s="33"/>
      <c r="H70" s="34"/>
      <c r="I70" s="31"/>
    </row>
    <row r="71" spans="1:9" ht="15" customHeight="1" x14ac:dyDescent="0.2">
      <c r="A71" s="15"/>
      <c r="B71" s="16"/>
      <c r="C71" s="15"/>
      <c r="D71" s="23"/>
      <c r="E71" s="22"/>
      <c r="F71" s="15"/>
      <c r="G71" s="29"/>
      <c r="H71" s="30"/>
      <c r="I71" s="31"/>
    </row>
    <row r="72" spans="1:9" ht="15" customHeight="1" x14ac:dyDescent="0.2">
      <c r="A72" s="15"/>
      <c r="B72" s="16"/>
      <c r="C72" s="15"/>
      <c r="D72" s="23"/>
      <c r="E72" s="22"/>
      <c r="F72" s="15"/>
      <c r="G72" s="29"/>
      <c r="H72" s="30"/>
      <c r="I72" s="31"/>
    </row>
    <row r="73" spans="1:9" ht="15" customHeight="1" x14ac:dyDescent="0.2">
      <c r="A73" s="15"/>
      <c r="B73" s="16"/>
      <c r="C73" s="15"/>
      <c r="D73" s="23"/>
      <c r="E73" s="22"/>
      <c r="F73" s="15"/>
      <c r="G73" s="29"/>
      <c r="H73" s="30"/>
      <c r="I73" s="31"/>
    </row>
    <row r="74" spans="1:9" ht="15" customHeight="1" x14ac:dyDescent="0.2">
      <c r="A74" s="15"/>
      <c r="B74" s="16"/>
      <c r="C74" s="15"/>
      <c r="D74" s="23"/>
      <c r="E74" s="22"/>
      <c r="F74" s="15"/>
      <c r="G74" s="29"/>
      <c r="H74" s="30"/>
      <c r="I74" s="31"/>
    </row>
    <row r="75" spans="1:9" ht="15" customHeight="1" x14ac:dyDescent="0.2">
      <c r="A75" s="15"/>
      <c r="B75" s="16"/>
      <c r="C75" s="15"/>
      <c r="D75" s="23"/>
      <c r="E75" s="22"/>
      <c r="F75" s="15"/>
      <c r="G75" s="29"/>
      <c r="H75" s="30"/>
      <c r="I75" s="31"/>
    </row>
    <row r="76" spans="1:9" ht="15" customHeight="1" x14ac:dyDescent="0.2">
      <c r="A76" s="15"/>
      <c r="B76" s="16"/>
      <c r="C76" s="15"/>
      <c r="D76" s="23"/>
      <c r="E76" s="22"/>
      <c r="F76" s="15"/>
      <c r="G76" s="29"/>
      <c r="H76" s="30"/>
      <c r="I76" s="31"/>
    </row>
    <row r="77" spans="1:9" ht="15" customHeight="1" x14ac:dyDescent="0.2">
      <c r="A77" s="11"/>
      <c r="B77" s="12"/>
      <c r="C77" s="11"/>
      <c r="D77" s="20"/>
      <c r="E77" s="22"/>
      <c r="F77" s="11"/>
      <c r="G77" s="33"/>
      <c r="H77" s="34"/>
      <c r="I77" s="31"/>
    </row>
    <row r="78" spans="1:9" ht="15" customHeight="1" x14ac:dyDescent="0.2">
      <c r="A78" s="11"/>
      <c r="B78" s="12"/>
      <c r="C78" s="11"/>
      <c r="D78" s="20"/>
      <c r="E78" s="22"/>
      <c r="F78" s="11"/>
      <c r="G78" s="33"/>
      <c r="H78" s="34"/>
      <c r="I78" s="31"/>
    </row>
    <row r="79" spans="1:9" ht="15" customHeight="1" x14ac:dyDescent="0.2">
      <c r="A79" s="11"/>
      <c r="B79" s="12"/>
      <c r="C79" s="11"/>
      <c r="D79" s="20"/>
      <c r="E79" s="22"/>
      <c r="F79" s="11"/>
      <c r="G79" s="33"/>
      <c r="H79" s="34"/>
      <c r="I79" s="31"/>
    </row>
    <row r="80" spans="1:9" ht="15" customHeight="1" x14ac:dyDescent="0.2">
      <c r="A80" s="11"/>
      <c r="B80" s="12"/>
      <c r="C80" s="11"/>
      <c r="D80" s="20"/>
      <c r="E80" s="22"/>
      <c r="F80" s="11"/>
      <c r="G80" s="33"/>
      <c r="H80" s="34"/>
      <c r="I80" s="31"/>
    </row>
    <row r="81" spans="1:9" ht="15" customHeight="1" x14ac:dyDescent="0.2">
      <c r="A81" s="11"/>
      <c r="B81" s="12"/>
      <c r="C81" s="11"/>
      <c r="D81" s="20"/>
      <c r="E81" s="22"/>
      <c r="F81" s="11"/>
      <c r="G81" s="33"/>
      <c r="H81" s="34"/>
      <c r="I81" s="31"/>
    </row>
    <row r="82" spans="1:9" ht="15" customHeight="1" x14ac:dyDescent="0.2">
      <c r="A82" s="11"/>
      <c r="B82" s="12"/>
      <c r="C82" s="11"/>
      <c r="D82" s="20"/>
      <c r="E82" s="22"/>
      <c r="F82" s="11"/>
      <c r="G82" s="33"/>
      <c r="H82" s="34"/>
      <c r="I82" s="31"/>
    </row>
    <row r="83" spans="1:9" ht="15" customHeight="1" x14ac:dyDescent="0.2">
      <c r="A83" s="15"/>
      <c r="B83" s="16"/>
      <c r="C83" s="15"/>
      <c r="D83" s="23"/>
      <c r="E83" s="22"/>
      <c r="F83" s="15"/>
      <c r="G83" s="29"/>
      <c r="H83" s="30"/>
      <c r="I83" s="31"/>
    </row>
    <row r="84" spans="1:9" ht="15" customHeight="1" x14ac:dyDescent="0.2">
      <c r="A84" s="15"/>
      <c r="B84" s="16"/>
      <c r="C84" s="15"/>
      <c r="D84" s="23"/>
      <c r="E84" s="22"/>
      <c r="F84" s="15"/>
      <c r="G84" s="29"/>
      <c r="H84" s="30"/>
      <c r="I84" s="31"/>
    </row>
    <row r="85" spans="1:9" ht="15" customHeight="1" x14ac:dyDescent="0.2">
      <c r="A85" s="15"/>
      <c r="B85" s="16"/>
      <c r="C85" s="15"/>
      <c r="D85" s="23"/>
      <c r="E85" s="22"/>
      <c r="F85" s="15"/>
      <c r="G85" s="29"/>
      <c r="H85" s="30"/>
      <c r="I85" s="31"/>
    </row>
    <row r="86" spans="1:9" ht="15" customHeight="1" x14ac:dyDescent="0.2">
      <c r="A86" s="15"/>
      <c r="B86" s="16"/>
      <c r="C86" s="15"/>
      <c r="D86" s="23"/>
      <c r="E86" s="22"/>
      <c r="F86" s="15"/>
      <c r="G86" s="29"/>
      <c r="H86" s="30"/>
      <c r="I86" s="31"/>
    </row>
    <row r="87" spans="1:9" ht="15" customHeight="1" x14ac:dyDescent="0.2">
      <c r="A87" s="15"/>
      <c r="B87" s="16"/>
      <c r="C87" s="15"/>
      <c r="D87" s="23"/>
      <c r="E87" s="22"/>
      <c r="F87" s="15"/>
      <c r="G87" s="29"/>
      <c r="H87" s="30"/>
      <c r="I87" s="31"/>
    </row>
    <row r="88" spans="1:9" ht="15" customHeight="1" x14ac:dyDescent="0.2">
      <c r="A88" s="15"/>
      <c r="B88" s="16"/>
      <c r="C88" s="15"/>
      <c r="D88" s="23"/>
      <c r="E88" s="22"/>
      <c r="F88" s="15"/>
      <c r="G88" s="29"/>
      <c r="H88" s="30"/>
      <c r="I88" s="31"/>
    </row>
    <row r="89" spans="1:9" ht="15" customHeight="1" x14ac:dyDescent="0.2">
      <c r="A89" s="11"/>
      <c r="B89" s="12"/>
      <c r="C89" s="11"/>
      <c r="D89" s="20"/>
      <c r="E89" s="22"/>
      <c r="F89" s="11"/>
      <c r="G89" s="33"/>
      <c r="H89" s="34"/>
      <c r="I89" s="31"/>
    </row>
    <row r="90" spans="1:9" ht="15" customHeight="1" x14ac:dyDescent="0.2">
      <c r="A90" s="11"/>
      <c r="B90" s="12"/>
      <c r="C90" s="11"/>
      <c r="D90" s="20"/>
      <c r="E90" s="22"/>
      <c r="F90" s="11"/>
      <c r="G90" s="33"/>
      <c r="H90" s="34"/>
      <c r="I90" s="31"/>
    </row>
    <row r="91" spans="1:9" ht="15" customHeight="1" x14ac:dyDescent="0.2">
      <c r="A91" s="11"/>
      <c r="B91" s="12"/>
      <c r="C91" s="11"/>
      <c r="D91" s="20"/>
      <c r="E91" s="22"/>
      <c r="F91" s="11"/>
      <c r="G91" s="33"/>
      <c r="H91" s="34"/>
      <c r="I91" s="31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Bahan tidak terdaftar" error="Pilih nama bahan dari daftar Master Bahan Baku." promptTitle="Nama Bahan" prompt="Pilih dari daftar Master Bahan Baku" xr:uid="{00000000-0002-0000-0300-000000000000}">
          <x14:formula1>
            <xm:f>'Master Bahan Baku'!$B$5:$B$18</xm:f>
          </x14:formula1>
          <x14:formula2>
            <xm:f>0</xm:f>
          </x14:formula2>
          <xm:sqref>D5:D200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8932A"/>
  </sheetPr>
  <dimension ref="A1:K151"/>
  <sheetViews>
    <sheetView showGridLines="0" zoomScale="133" zoomScaleNormal="133" workbookViewId="0">
      <pane ySplit="5" topLeftCell="A36" activePane="bottomLeft" state="frozen"/>
      <selection pane="bottomLeft" activeCell="H93" sqref="H93"/>
    </sheetView>
  </sheetViews>
  <sheetFormatPr baseColWidth="10" defaultColWidth="8.6640625" defaultRowHeight="15" x14ac:dyDescent="0.2"/>
  <cols>
    <col min="1" max="1" width="5" style="1" customWidth="1"/>
    <col min="2" max="2" width="40" style="1" customWidth="1"/>
    <col min="3" max="3" width="11" style="1" customWidth="1"/>
    <col min="4" max="4" width="26" style="1" customWidth="1"/>
    <col min="5" max="5" width="11" style="1" customWidth="1"/>
    <col min="6" max="6" width="10" style="1" customWidth="1"/>
    <col min="7" max="7" width="12" style="1" customWidth="1"/>
    <col min="8" max="8" width="16" style="1" customWidth="1"/>
    <col min="9" max="9" width="12" style="1" customWidth="1"/>
    <col min="10" max="10" width="16" style="1" customWidth="1"/>
    <col min="11" max="11" width="14" style="1" customWidth="1"/>
  </cols>
  <sheetData>
    <row r="1" spans="1:11" ht="25.5" customHeight="1" x14ac:dyDescent="0.2">
      <c r="A1" s="92" t="s">
        <v>100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 ht="15" customHeight="1" x14ac:dyDescent="0.2">
      <c r="A2" s="93" t="s">
        <v>101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4" spans="1:11" ht="18" customHeight="1" x14ac:dyDescent="0.2">
      <c r="A4" s="91" t="s">
        <v>102</v>
      </c>
      <c r="B4" s="91"/>
      <c r="C4" s="91"/>
      <c r="D4" s="91"/>
      <c r="E4" s="91"/>
      <c r="F4" s="91"/>
      <c r="G4" s="91"/>
      <c r="H4" s="91"/>
      <c r="I4" s="91"/>
      <c r="J4" s="91"/>
      <c r="K4" s="91"/>
    </row>
    <row r="5" spans="1:11" ht="15" customHeight="1" x14ac:dyDescent="0.2">
      <c r="A5" s="10"/>
      <c r="B5" s="10"/>
      <c r="G5" s="10"/>
      <c r="I5" s="10"/>
    </row>
    <row r="6" spans="1:11" ht="15" customHeight="1" x14ac:dyDescent="0.2">
      <c r="A6" s="35">
        <f>'HPP &amp; Harga Jual'!A5</f>
        <v>1</v>
      </c>
      <c r="B6" s="89" t="str">
        <f>'HPP &amp; Harga Jual'!B5</f>
        <v>Kopsu Gula Aren</v>
      </c>
      <c r="C6" s="89"/>
      <c r="D6" s="89"/>
      <c r="E6" s="89"/>
      <c r="F6" s="89"/>
      <c r="G6" s="88">
        <v>50</v>
      </c>
      <c r="H6" s="88"/>
      <c r="I6" s="89"/>
      <c r="J6" s="89"/>
      <c r="K6" s="89"/>
    </row>
    <row r="7" spans="1:11" ht="15" customHeight="1" x14ac:dyDescent="0.2">
      <c r="A7" s="35">
        <f>'HPP &amp; Harga Jual'!A6</f>
        <v>2</v>
      </c>
      <c r="B7" s="89" t="str">
        <f>'HPP &amp; Harga Jual'!B6</f>
        <v>Kopsu Original</v>
      </c>
      <c r="C7" s="89"/>
      <c r="D7" s="89"/>
      <c r="E7" s="89"/>
      <c r="F7" s="89"/>
      <c r="G7" s="88">
        <v>50</v>
      </c>
      <c r="H7" s="88"/>
      <c r="I7" s="89"/>
      <c r="J7" s="89"/>
      <c r="K7" s="89"/>
    </row>
    <row r="8" spans="1:11" ht="15" customHeight="1" x14ac:dyDescent="0.2">
      <c r="A8" s="35">
        <f>'HPP &amp; Harga Jual'!A7</f>
        <v>3</v>
      </c>
      <c r="B8" s="89" t="str">
        <f>'HPP &amp; Harga Jual'!B7</f>
        <v>Americano (Es)</v>
      </c>
      <c r="C8" s="89"/>
      <c r="D8" s="89"/>
      <c r="E8" s="89"/>
      <c r="F8" s="89"/>
      <c r="G8" s="88">
        <v>50</v>
      </c>
      <c r="H8" s="88"/>
      <c r="I8" s="89"/>
      <c r="J8" s="89"/>
      <c r="K8" s="89"/>
    </row>
    <row r="9" spans="1:11" ht="15" customHeight="1" x14ac:dyDescent="0.2">
      <c r="A9" s="35">
        <f>'HPP &amp; Harga Jual'!A8</f>
        <v>4</v>
      </c>
      <c r="B9" s="89" t="str">
        <f>'HPP &amp; Harga Jual'!B8</f>
        <v>Cappuccino (Panas)</v>
      </c>
      <c r="C9" s="89"/>
      <c r="D9" s="89"/>
      <c r="E9" s="89"/>
      <c r="F9" s="89"/>
      <c r="G9" s="88">
        <v>50</v>
      </c>
      <c r="H9" s="88"/>
      <c r="I9" s="89"/>
      <c r="J9" s="89"/>
      <c r="K9" s="89"/>
    </row>
    <row r="10" spans="1:11" ht="15" customHeight="1" x14ac:dyDescent="0.2">
      <c r="A10" s="35">
        <f>'HPP &amp; Harga Jual'!A9</f>
        <v>5</v>
      </c>
      <c r="B10" s="89" t="str">
        <f>'HPP &amp; Harga Jual'!B9</f>
        <v>Matcha</v>
      </c>
      <c r="C10" s="89"/>
      <c r="D10" s="89"/>
      <c r="E10" s="89"/>
      <c r="F10" s="89"/>
      <c r="G10" s="88">
        <v>50</v>
      </c>
      <c r="H10" s="88"/>
      <c r="I10" s="89"/>
      <c r="J10" s="89"/>
      <c r="K10" s="89"/>
    </row>
    <row r="11" spans="1:11" ht="15" customHeight="1" x14ac:dyDescent="0.2">
      <c r="A11" s="35">
        <f>'HPP &amp; Harga Jual'!A10</f>
        <v>6</v>
      </c>
      <c r="B11" s="89" t="str">
        <f>'HPP &amp; Harga Jual'!B10</f>
        <v>Kopsu Singgah Aren</v>
      </c>
      <c r="C11" s="89"/>
      <c r="D11" s="89"/>
      <c r="E11" s="89"/>
      <c r="F11" s="89"/>
      <c r="G11" s="88">
        <v>50</v>
      </c>
      <c r="H11" s="88"/>
      <c r="I11" s="89"/>
      <c r="J11" s="89"/>
      <c r="K11" s="89"/>
    </row>
    <row r="12" spans="1:11" ht="15" customHeight="1" x14ac:dyDescent="0.2">
      <c r="A12" s="35">
        <f>'HPP &amp; Harga Jual'!A11</f>
        <v>7</v>
      </c>
      <c r="B12" s="89" t="str">
        <f>'HPP &amp; Harga Jual'!B11</f>
        <v>Butterscotch Latte</v>
      </c>
      <c r="C12" s="89"/>
      <c r="D12" s="89"/>
      <c r="E12" s="89"/>
      <c r="F12" s="89"/>
      <c r="G12" s="88">
        <v>50</v>
      </c>
      <c r="H12" s="88"/>
      <c r="I12" s="89"/>
      <c r="J12" s="89"/>
      <c r="K12" s="89"/>
    </row>
    <row r="13" spans="1:11" ht="15" customHeight="1" x14ac:dyDescent="0.2">
      <c r="A13" s="35">
        <f>'HPP &amp; Harga Jual'!A12</f>
        <v>8</v>
      </c>
      <c r="B13" s="89" t="str">
        <f>'HPP &amp; Harga Jual'!B12</f>
        <v>Kopsu Singgah</v>
      </c>
      <c r="C13" s="89"/>
      <c r="D13" s="89"/>
      <c r="E13" s="89"/>
      <c r="F13" s="89"/>
      <c r="G13" s="88">
        <v>50</v>
      </c>
      <c r="H13" s="88"/>
      <c r="I13" s="89"/>
      <c r="J13" s="89"/>
      <c r="K13" s="89"/>
    </row>
    <row r="14" spans="1:11" ht="15" customHeight="1" x14ac:dyDescent="0.2">
      <c r="A14" s="35">
        <f>'HPP &amp; Harga Jual'!A13</f>
        <v>9</v>
      </c>
      <c r="B14" s="89" t="str">
        <f>'HPP &amp; Harga Jual'!B13</f>
        <v>Oatside Signature</v>
      </c>
      <c r="C14" s="89"/>
      <c r="D14" s="89"/>
      <c r="E14" s="89"/>
      <c r="F14" s="89"/>
      <c r="G14" s="88">
        <v>50</v>
      </c>
      <c r="H14" s="88"/>
      <c r="I14" s="89"/>
      <c r="J14" s="89"/>
      <c r="K14" s="89"/>
    </row>
    <row r="15" spans="1:11" ht="15" customHeight="1" x14ac:dyDescent="0.2">
      <c r="A15" s="35">
        <f>'HPP &amp; Harga Jual'!A14</f>
        <v>10</v>
      </c>
      <c r="B15" s="89" t="str">
        <f>'HPP &amp; Harga Jual'!B14</f>
        <v>Oatside Signature Gula Aren</v>
      </c>
      <c r="C15" s="89"/>
      <c r="D15" s="89"/>
      <c r="E15" s="89"/>
      <c r="F15" s="89"/>
      <c r="G15" s="88">
        <v>50</v>
      </c>
      <c r="H15" s="88"/>
      <c r="I15" s="89"/>
      <c r="J15" s="89"/>
      <c r="K15" s="89"/>
    </row>
    <row r="16" spans="1:11" ht="15" customHeight="1" x14ac:dyDescent="0.2">
      <c r="A16" s="90" t="s">
        <v>103</v>
      </c>
      <c r="B16" s="90"/>
      <c r="C16" s="90"/>
      <c r="D16" s="90"/>
      <c r="E16" s="90"/>
      <c r="F16" s="90"/>
      <c r="G16" s="90"/>
      <c r="H16" s="90"/>
      <c r="I16" s="90"/>
      <c r="J16" s="90"/>
      <c r="K16" s="90"/>
    </row>
    <row r="17" spans="1:11" ht="15" customHeight="1" x14ac:dyDescent="0.2">
      <c r="A17" s="35"/>
      <c r="B17" s="36"/>
      <c r="G17" s="37"/>
      <c r="I17" s="36"/>
    </row>
    <row r="18" spans="1:11" ht="15" customHeight="1" x14ac:dyDescent="0.2">
      <c r="A18" s="91" t="s">
        <v>104</v>
      </c>
      <c r="B18" s="91"/>
      <c r="C18" s="91"/>
      <c r="D18" s="91"/>
      <c r="E18" s="91"/>
      <c r="F18" s="91"/>
      <c r="G18" s="91"/>
      <c r="H18" s="91"/>
      <c r="I18" s="91"/>
      <c r="J18" s="91"/>
      <c r="K18" s="91"/>
    </row>
    <row r="19" spans="1:11" ht="15" customHeight="1" x14ac:dyDescent="0.2">
      <c r="A19" s="84" t="s">
        <v>105</v>
      </c>
      <c r="B19" s="84"/>
      <c r="C19" s="84"/>
      <c r="D19" s="84"/>
      <c r="E19" s="84"/>
      <c r="F19" s="84"/>
      <c r="G19" s="85">
        <f>SUM(G6:G15)</f>
        <v>500</v>
      </c>
      <c r="H19" s="85"/>
      <c r="I19" s="86" t="s">
        <v>106</v>
      </c>
      <c r="J19" s="86"/>
      <c r="K19" s="86"/>
    </row>
    <row r="20" spans="1:11" ht="15" customHeight="1" x14ac:dyDescent="0.2">
      <c r="A20" s="84" t="s">
        <v>107</v>
      </c>
      <c r="B20" s="84"/>
      <c r="C20" s="84"/>
      <c r="D20" s="84"/>
      <c r="E20" s="84"/>
      <c r="F20" s="84"/>
      <c r="G20" s="88">
        <v>10</v>
      </c>
      <c r="H20" s="88"/>
      <c r="I20" s="86" t="s">
        <v>108</v>
      </c>
      <c r="J20" s="86"/>
      <c r="K20" s="86"/>
    </row>
    <row r="21" spans="1:11" ht="15" customHeight="1" x14ac:dyDescent="0.2">
      <c r="A21" s="84" t="s">
        <v>109</v>
      </c>
      <c r="B21" s="84"/>
      <c r="C21" s="84"/>
      <c r="D21" s="84"/>
      <c r="E21" s="84"/>
      <c r="F21" s="84"/>
      <c r="G21" s="85">
        <f>IF(G20=0,0,ROUNDUP(G19/G20,0))</f>
        <v>50</v>
      </c>
      <c r="H21" s="85"/>
      <c r="I21" s="86" t="s">
        <v>110</v>
      </c>
      <c r="J21" s="86"/>
      <c r="K21" s="86"/>
    </row>
    <row r="22" spans="1:11" ht="15" customHeight="1" x14ac:dyDescent="0.2">
      <c r="A22" s="38"/>
    </row>
    <row r="23" spans="1:11" ht="15" customHeight="1" x14ac:dyDescent="0.2">
      <c r="A23" s="87" t="s">
        <v>111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</row>
    <row r="24" spans="1:11" ht="18" customHeight="1" x14ac:dyDescent="0.2">
      <c r="A24" s="10" t="s">
        <v>24</v>
      </c>
      <c r="B24" s="10" t="s">
        <v>25</v>
      </c>
      <c r="C24" s="10" t="s">
        <v>95</v>
      </c>
      <c r="D24" s="10" t="s">
        <v>43</v>
      </c>
      <c r="E24" s="10" t="s">
        <v>112</v>
      </c>
      <c r="F24" s="10" t="s">
        <v>97</v>
      </c>
      <c r="G24" s="10" t="s">
        <v>113</v>
      </c>
      <c r="H24" s="10" t="s">
        <v>114</v>
      </c>
      <c r="I24" s="1" t="s">
        <v>46</v>
      </c>
      <c r="J24" s="10" t="s">
        <v>115</v>
      </c>
      <c r="K24" s="17" t="s">
        <v>116</v>
      </c>
    </row>
    <row r="25" spans="1:11" ht="15" customHeight="1" x14ac:dyDescent="0.2">
      <c r="A25" s="35">
        <f>IF('Resep Menu'!A5="","",'Resep Menu'!A5)</f>
        <v>1</v>
      </c>
      <c r="B25" s="36" t="str">
        <f>'Resep Menu'!B5</f>
        <v>Kopsu Gula Aren</v>
      </c>
      <c r="C25" s="39" t="str">
        <f>'Resep Menu'!C5</f>
        <v>B01</v>
      </c>
      <c r="D25" s="36" t="str">
        <f>'Resep Menu'!D5</f>
        <v>Kopi Robusta Bubuk/Biji</v>
      </c>
      <c r="E25" s="40">
        <f>'Resep Menu'!E5</f>
        <v>15</v>
      </c>
      <c r="F25" s="39" t="str">
        <f>'Resep Menu'!F5</f>
        <v>gram</v>
      </c>
      <c r="G25" s="35">
        <f t="shared" ref="G25:G56" si="0">INDEX($G$6:$G$15,MATCH(B25,$B$6:$B$15,0))</f>
        <v>50</v>
      </c>
      <c r="H25" s="40">
        <f t="shared" ref="H25:H56" si="1">E25*G25</f>
        <v>750</v>
      </c>
      <c r="I25" s="39" t="str">
        <f>INDEX('Master Bahan Baku'!$E$5:$E$18,MATCH(C25,'Master Bahan Baku'!$A$5:$A$18,0))</f>
        <v>kg</v>
      </c>
      <c r="J25" s="40">
        <f>IFERROR(H25/INDEX('Master Bahan Baku'!$F$5:$F$18,MATCH(C25,'Master Bahan Baku'!$A$5:$A$18,0)),0)</f>
        <v>0.75</v>
      </c>
      <c r="K25" s="17">
        <f>H25*INDEX('Master Bahan Baku'!$H$5:$H$18,MATCH(C25,'Master Bahan Baku'!$A$5:$A$18,0))</f>
        <v>94500</v>
      </c>
    </row>
    <row r="26" spans="1:11" ht="15" customHeight="1" x14ac:dyDescent="0.2">
      <c r="A26" s="35" t="str">
        <f>IF('Resep Menu'!A6="","",'Resep Menu'!A6)</f>
        <v/>
      </c>
      <c r="B26" s="36" t="str">
        <f>'Resep Menu'!B6</f>
        <v>Kopsu Gula Aren</v>
      </c>
      <c r="C26" s="39" t="str">
        <f>'Resep Menu'!C6</f>
        <v>B03</v>
      </c>
      <c r="D26" s="36" t="str">
        <f>'Resep Menu'!D6</f>
        <v>Susu Full Cream UHT</v>
      </c>
      <c r="E26" s="40">
        <f>'Resep Menu'!E6</f>
        <v>100</v>
      </c>
      <c r="F26" s="39" t="str">
        <f>'Resep Menu'!F6</f>
        <v>ml</v>
      </c>
      <c r="G26" s="35">
        <f t="shared" si="0"/>
        <v>50</v>
      </c>
      <c r="H26" s="40">
        <f t="shared" si="1"/>
        <v>5000</v>
      </c>
      <c r="I26" s="39" t="str">
        <f>INDEX('Master Bahan Baku'!$E$5:$E$18,MATCH(C26,'Master Bahan Baku'!$A$5:$A$18,0))</f>
        <v>liter</v>
      </c>
      <c r="J26" s="40">
        <f>IFERROR(H26/INDEX('Master Bahan Baku'!$F$5:$F$18,MATCH(C26,'Master Bahan Baku'!$A$5:$A$18,0)),0)</f>
        <v>5</v>
      </c>
      <c r="K26" s="17">
        <f>H26*INDEX('Master Bahan Baku'!$H$5:$H$18,MATCH(C26,'Master Bahan Baku'!$A$5:$A$18,0))</f>
        <v>110000</v>
      </c>
    </row>
    <row r="27" spans="1:11" ht="15" customHeight="1" x14ac:dyDescent="0.2">
      <c r="A27" s="35" t="str">
        <f>IF('Resep Menu'!A7="","",'Resep Menu'!A7)</f>
        <v/>
      </c>
      <c r="B27" s="36" t="str">
        <f>'Resep Menu'!B7</f>
        <v>Kopsu Gula Aren</v>
      </c>
      <c r="C27" s="39" t="str">
        <f>'Resep Menu'!C7</f>
        <v>B20</v>
      </c>
      <c r="D27" s="36" t="str">
        <f>'Resep Menu'!D7</f>
        <v>Krimer Bubuk</v>
      </c>
      <c r="E27" s="40">
        <f>'Resep Menu'!E7</f>
        <v>25</v>
      </c>
      <c r="F27" s="39" t="str">
        <f>'Resep Menu'!F7</f>
        <v>gram</v>
      </c>
      <c r="G27" s="35">
        <f t="shared" si="0"/>
        <v>50</v>
      </c>
      <c r="H27" s="40">
        <f t="shared" si="1"/>
        <v>1250</v>
      </c>
      <c r="I27" s="39" t="str">
        <f>INDEX('Master Bahan Baku'!$E$5:$E$18,MATCH(C27,'Master Bahan Baku'!$A$5:$A$18,0))</f>
        <v>kg</v>
      </c>
      <c r="J27" s="40">
        <f>IFERROR(H27/INDEX('Master Bahan Baku'!$F$5:$F$18,MATCH(C27,'Master Bahan Baku'!$A$5:$A$18,0)),0)</f>
        <v>1.25</v>
      </c>
      <c r="K27" s="17">
        <f>H27*INDEX('Master Bahan Baku'!$H$5:$H$18,MATCH(C27,'Master Bahan Baku'!$A$5:$A$18,0))</f>
        <v>68750</v>
      </c>
    </row>
    <row r="28" spans="1:11" ht="15" customHeight="1" x14ac:dyDescent="0.2">
      <c r="A28" s="35" t="str">
        <f>IF('Resep Menu'!A8="","",'Resep Menu'!A8)</f>
        <v/>
      </c>
      <c r="B28" s="36" t="str">
        <f>'Resep Menu'!B8</f>
        <v>Kopsu Gula Aren</v>
      </c>
      <c r="C28" s="39" t="str">
        <f>'Resep Menu'!C8</f>
        <v>B05</v>
      </c>
      <c r="D28" s="36" t="str">
        <f>'Resep Menu'!D8</f>
        <v>Gula Aren Cair (Palm Sugar Syrup)</v>
      </c>
      <c r="E28" s="40">
        <f>'Resep Menu'!E8</f>
        <v>30</v>
      </c>
      <c r="F28" s="39" t="str">
        <f>'Resep Menu'!F8</f>
        <v>ml</v>
      </c>
      <c r="G28" s="35">
        <f t="shared" si="0"/>
        <v>50</v>
      </c>
      <c r="H28" s="40">
        <f t="shared" si="1"/>
        <v>1500</v>
      </c>
      <c r="I28" s="39" t="str">
        <f>INDEX('Master Bahan Baku'!$E$5:$E$18,MATCH(C28,'Master Bahan Baku'!$A$5:$A$18,0))</f>
        <v>liter</v>
      </c>
      <c r="J28" s="40">
        <f>IFERROR(H28/INDEX('Master Bahan Baku'!$F$5:$F$18,MATCH(C28,'Master Bahan Baku'!$A$5:$A$18,0)),0)</f>
        <v>1.5</v>
      </c>
      <c r="K28" s="17">
        <f>H28*INDEX('Master Bahan Baku'!$H$5:$H$18,MATCH(C28,'Master Bahan Baku'!$A$5:$A$18,0))</f>
        <v>52500</v>
      </c>
    </row>
    <row r="29" spans="1:11" ht="18" customHeight="1" x14ac:dyDescent="0.2">
      <c r="A29" s="35" t="str">
        <f>IF('Resep Menu'!A9="","",'Resep Menu'!A9)</f>
        <v/>
      </c>
      <c r="B29" s="36" t="str">
        <f>'Resep Menu'!B9</f>
        <v>Kopsu Gula Aren</v>
      </c>
      <c r="C29" s="39" t="str">
        <f>'Resep Menu'!C9</f>
        <v>B13</v>
      </c>
      <c r="D29" s="36" t="str">
        <f>'Resep Menu'!D9</f>
        <v>Es Batu</v>
      </c>
      <c r="E29" s="40">
        <f>'Resep Menu'!E9</f>
        <v>100</v>
      </c>
      <c r="F29" s="39" t="str">
        <f>'Resep Menu'!F9</f>
        <v>gram</v>
      </c>
      <c r="G29" s="35">
        <f t="shared" si="0"/>
        <v>50</v>
      </c>
      <c r="H29" s="40">
        <f t="shared" si="1"/>
        <v>5000</v>
      </c>
      <c r="I29" s="39" t="str">
        <f>INDEX('Master Bahan Baku'!$E$5:$E$18,MATCH(C29,'Master Bahan Baku'!$A$5:$A$18,0))</f>
        <v>kg</v>
      </c>
      <c r="J29" s="40">
        <f>IFERROR(H29/INDEX('Master Bahan Baku'!$F$5:$F$18,MATCH(C29,'Master Bahan Baku'!$A$5:$A$18,0)),0)</f>
        <v>5</v>
      </c>
      <c r="K29" s="17">
        <f>H29*INDEX('Master Bahan Baku'!$H$5:$H$18,MATCH(C29,'Master Bahan Baku'!$A$5:$A$18,0))</f>
        <v>15000</v>
      </c>
    </row>
    <row r="30" spans="1:11" ht="23.25" customHeight="1" x14ac:dyDescent="0.2">
      <c r="A30" s="35" t="str">
        <f>IF('Resep Menu'!A10="","",'Resep Menu'!A10)</f>
        <v/>
      </c>
      <c r="B30" s="36" t="str">
        <f>'Resep Menu'!B10</f>
        <v>Kopsu Gula Aren</v>
      </c>
      <c r="C30" s="39" t="str">
        <f>'Resep Menu'!C10</f>
        <v>B14</v>
      </c>
      <c r="D30" s="36" t="str">
        <f>'Resep Menu'!D10</f>
        <v>Cup Plastik 12oz + Tutup</v>
      </c>
      <c r="E30" s="40">
        <f>'Resep Menu'!E10</f>
        <v>1</v>
      </c>
      <c r="F30" s="39" t="str">
        <f>'Resep Menu'!F10</f>
        <v>pcs</v>
      </c>
      <c r="G30" s="35">
        <f t="shared" si="0"/>
        <v>50</v>
      </c>
      <c r="H30" s="40">
        <f t="shared" si="1"/>
        <v>50</v>
      </c>
      <c r="I30" s="39" t="str">
        <f>INDEX('Master Bahan Baku'!$E$5:$E$18,MATCH(C30,'Master Bahan Baku'!$A$5:$A$18,0))</f>
        <v>pcs</v>
      </c>
      <c r="J30" s="40">
        <f>IFERROR(H30/INDEX('Master Bahan Baku'!$F$5:$F$18,MATCH(C30,'Master Bahan Baku'!$A$5:$A$18,0)),0)</f>
        <v>50</v>
      </c>
      <c r="K30" s="17">
        <f>H30*INDEX('Master Bahan Baku'!$H$5:$H$18,MATCH(C30,'Master Bahan Baku'!$A$5:$A$18,0))</f>
        <v>42500</v>
      </c>
    </row>
    <row r="31" spans="1:11" ht="15" customHeight="1" x14ac:dyDescent="0.2">
      <c r="A31" s="35" t="str">
        <f>IF('Resep Menu'!A11="","",'Resep Menu'!A11)</f>
        <v/>
      </c>
      <c r="B31" s="36" t="str">
        <f>'Resep Menu'!B11</f>
        <v>Kopsu Gula Aren</v>
      </c>
      <c r="C31" s="39" t="str">
        <f>'Resep Menu'!C11</f>
        <v>B16</v>
      </c>
      <c r="D31" s="36" t="str">
        <f>'Resep Menu'!D11</f>
        <v>Sedotan</v>
      </c>
      <c r="E31" s="40">
        <f>'Resep Menu'!E11</f>
        <v>1</v>
      </c>
      <c r="F31" s="39" t="str">
        <f>'Resep Menu'!F11</f>
        <v>pcs</v>
      </c>
      <c r="G31" s="35">
        <f t="shared" si="0"/>
        <v>50</v>
      </c>
      <c r="H31" s="40">
        <f t="shared" si="1"/>
        <v>50</v>
      </c>
      <c r="I31" s="39" t="str">
        <f>INDEX('Master Bahan Baku'!$E$5:$E$18,MATCH(C31,'Master Bahan Baku'!$A$5:$A$18,0))</f>
        <v>pcs</v>
      </c>
      <c r="J31" s="40">
        <f>IFERROR(H31/INDEX('Master Bahan Baku'!$F$5:$F$18,MATCH(C31,'Master Bahan Baku'!$A$5:$A$18,0)),0)</f>
        <v>50</v>
      </c>
      <c r="K31" s="17">
        <f>H31*INDEX('Master Bahan Baku'!$H$5:$H$18,MATCH(C31,'Master Bahan Baku'!$A$5:$A$18,0))</f>
        <v>5000</v>
      </c>
    </row>
    <row r="32" spans="1:11" ht="15" customHeight="1" x14ac:dyDescent="0.2">
      <c r="A32" s="35">
        <f>IF('Resep Menu'!A12="","",'Resep Menu'!A12)</f>
        <v>2</v>
      </c>
      <c r="B32" s="36" t="str">
        <f>'Resep Menu'!B12</f>
        <v>Kopsu Original</v>
      </c>
      <c r="C32" s="39" t="str">
        <f>'Resep Menu'!C12</f>
        <v>B01</v>
      </c>
      <c r="D32" s="36" t="str">
        <f>'Resep Menu'!D12</f>
        <v>Kopi Robusta Bubuk/Biji</v>
      </c>
      <c r="E32" s="40">
        <f>'Resep Menu'!E12</f>
        <v>15</v>
      </c>
      <c r="F32" s="39" t="str">
        <f>'Resep Menu'!F12</f>
        <v>gram</v>
      </c>
      <c r="G32" s="35">
        <f t="shared" si="0"/>
        <v>50</v>
      </c>
      <c r="H32" s="40">
        <f t="shared" si="1"/>
        <v>750</v>
      </c>
      <c r="I32" s="39" t="str">
        <f>INDEX('Master Bahan Baku'!$E$5:$E$18,MATCH(C32,'Master Bahan Baku'!$A$5:$A$18,0))</f>
        <v>kg</v>
      </c>
      <c r="J32" s="40">
        <f>IFERROR(H32/INDEX('Master Bahan Baku'!$F$5:$F$18,MATCH(C32,'Master Bahan Baku'!$A$5:$A$18,0)),0)</f>
        <v>0.75</v>
      </c>
      <c r="K32" s="17">
        <f>H32*INDEX('Master Bahan Baku'!$H$5:$H$18,MATCH(C32,'Master Bahan Baku'!$A$5:$A$18,0))</f>
        <v>94500</v>
      </c>
    </row>
    <row r="33" spans="1:11" ht="23.25" customHeight="1" x14ac:dyDescent="0.2">
      <c r="A33" s="35" t="str">
        <f>IF('Resep Menu'!A13="","",'Resep Menu'!A13)</f>
        <v/>
      </c>
      <c r="B33" s="36" t="str">
        <f>'Resep Menu'!B13</f>
        <v>Kopsu Original</v>
      </c>
      <c r="C33" s="39" t="str">
        <f>'Resep Menu'!C13</f>
        <v>B03</v>
      </c>
      <c r="D33" s="36" t="str">
        <f>'Resep Menu'!D13</f>
        <v>Susu Full Cream UHT</v>
      </c>
      <c r="E33" s="40">
        <f>'Resep Menu'!E13</f>
        <v>100</v>
      </c>
      <c r="F33" s="39" t="str">
        <f>'Resep Menu'!F13</f>
        <v>ml</v>
      </c>
      <c r="G33" s="35">
        <f t="shared" si="0"/>
        <v>50</v>
      </c>
      <c r="H33" s="40">
        <f t="shared" si="1"/>
        <v>5000</v>
      </c>
      <c r="I33" s="39" t="str">
        <f>INDEX('Master Bahan Baku'!$E$5:$E$18,MATCH(C33,'Master Bahan Baku'!$A$5:$A$18,0))</f>
        <v>liter</v>
      </c>
      <c r="J33" s="40">
        <f>IFERROR(H33/INDEX('Master Bahan Baku'!$F$5:$F$18,MATCH(C33,'Master Bahan Baku'!$A$5:$A$18,0)),0)</f>
        <v>5</v>
      </c>
      <c r="K33" s="17">
        <f>H33*INDEX('Master Bahan Baku'!$H$5:$H$18,MATCH(C33,'Master Bahan Baku'!$A$5:$A$18,0))</f>
        <v>110000</v>
      </c>
    </row>
    <row r="34" spans="1:11" ht="15" customHeight="1" x14ac:dyDescent="0.2">
      <c r="A34" s="35" t="str">
        <f>IF('Resep Menu'!A14="","",'Resep Menu'!A14)</f>
        <v/>
      </c>
      <c r="B34" s="36" t="str">
        <f>'Resep Menu'!B14</f>
        <v>Kopsu Original</v>
      </c>
      <c r="C34" s="39" t="str">
        <f>'Resep Menu'!C14</f>
        <v>B20</v>
      </c>
      <c r="D34" s="36" t="str">
        <f>'Resep Menu'!D14</f>
        <v>Krimer Bubuk</v>
      </c>
      <c r="E34" s="40">
        <f>'Resep Menu'!E14</f>
        <v>25</v>
      </c>
      <c r="F34" s="39" t="str">
        <f>'Resep Menu'!F14</f>
        <v>gram</v>
      </c>
      <c r="G34" s="35">
        <f t="shared" si="0"/>
        <v>50</v>
      </c>
      <c r="H34" s="40">
        <f t="shared" si="1"/>
        <v>1250</v>
      </c>
      <c r="I34" s="39" t="str">
        <f>INDEX('Master Bahan Baku'!$E$5:$E$18,MATCH(C34,'Master Bahan Baku'!$A$5:$A$18,0))</f>
        <v>kg</v>
      </c>
      <c r="J34" s="40">
        <f>IFERROR(H34/INDEX('Master Bahan Baku'!$F$5:$F$18,MATCH(C34,'Master Bahan Baku'!$A$5:$A$18,0)),0)</f>
        <v>1.25</v>
      </c>
      <c r="K34" s="17">
        <f>H34*INDEX('Master Bahan Baku'!$H$5:$H$18,MATCH(C34,'Master Bahan Baku'!$A$5:$A$18,0))</f>
        <v>68750</v>
      </c>
    </row>
    <row r="35" spans="1:11" ht="15" customHeight="1" x14ac:dyDescent="0.2">
      <c r="A35" s="35" t="str">
        <f>IF('Resep Menu'!A15="","",'Resep Menu'!A15)</f>
        <v/>
      </c>
      <c r="B35" s="36" t="str">
        <f>'Resep Menu'!B15</f>
        <v>Kopsu Original</v>
      </c>
      <c r="C35" s="39" t="str">
        <f>'Resep Menu'!C15</f>
        <v>B23</v>
      </c>
      <c r="D35" s="36" t="str">
        <f>'Resep Menu'!D15</f>
        <v>Susu Kental Manis (SKM)</v>
      </c>
      <c r="E35" s="40">
        <f>'Resep Menu'!E15</f>
        <v>25</v>
      </c>
      <c r="F35" s="39" t="str">
        <f>'Resep Menu'!F15</f>
        <v>ml</v>
      </c>
      <c r="G35" s="35">
        <f t="shared" si="0"/>
        <v>50</v>
      </c>
      <c r="H35" s="40">
        <f t="shared" si="1"/>
        <v>1250</v>
      </c>
      <c r="I35" s="39" t="str">
        <f>INDEX('Master Bahan Baku'!$E$5:$E$18,MATCH(C35,'Master Bahan Baku'!$A$5:$A$18,0))</f>
        <v>liter</v>
      </c>
      <c r="J35" s="40">
        <f>IFERROR(H35/INDEX('Master Bahan Baku'!$F$5:$F$18,MATCH(C35,'Master Bahan Baku'!$A$5:$A$18,0)),0)</f>
        <v>1.25</v>
      </c>
      <c r="K35" s="17">
        <f>H35*INDEX('Master Bahan Baku'!$H$5:$H$18,MATCH(C35,'Master Bahan Baku'!$A$5:$A$18,0))</f>
        <v>25000</v>
      </c>
    </row>
    <row r="36" spans="1:11" ht="15" customHeight="1" x14ac:dyDescent="0.2">
      <c r="A36" s="35" t="str">
        <f>IF('Resep Menu'!A16="","",'Resep Menu'!A16)</f>
        <v/>
      </c>
      <c r="B36" s="36" t="str">
        <f>'Resep Menu'!B16</f>
        <v>Kopsu Original</v>
      </c>
      <c r="C36" s="39" t="str">
        <f>'Resep Menu'!C16</f>
        <v>B13</v>
      </c>
      <c r="D36" s="36" t="str">
        <f>'Resep Menu'!D16</f>
        <v>Es Batu</v>
      </c>
      <c r="E36" s="40">
        <f>'Resep Menu'!E16</f>
        <v>100</v>
      </c>
      <c r="F36" s="39" t="str">
        <f>'Resep Menu'!F16</f>
        <v>gram</v>
      </c>
      <c r="G36" s="35">
        <f t="shared" si="0"/>
        <v>50</v>
      </c>
      <c r="H36" s="40">
        <f t="shared" si="1"/>
        <v>5000</v>
      </c>
      <c r="I36" s="39" t="str">
        <f>INDEX('Master Bahan Baku'!$E$5:$E$18,MATCH(C36,'Master Bahan Baku'!$A$5:$A$18,0))</f>
        <v>kg</v>
      </c>
      <c r="J36" s="40">
        <f>IFERROR(H36/INDEX('Master Bahan Baku'!$F$5:$F$18,MATCH(C36,'Master Bahan Baku'!$A$5:$A$18,0)),0)</f>
        <v>5</v>
      </c>
      <c r="K36" s="17">
        <f>H36*INDEX('Master Bahan Baku'!$H$5:$H$18,MATCH(C36,'Master Bahan Baku'!$A$5:$A$18,0))</f>
        <v>15000</v>
      </c>
    </row>
    <row r="37" spans="1:11" ht="15" customHeight="1" x14ac:dyDescent="0.2">
      <c r="A37" s="35" t="str">
        <f>IF('Resep Menu'!A17="","",'Resep Menu'!A17)</f>
        <v/>
      </c>
      <c r="B37" s="36" t="str">
        <f>'Resep Menu'!B17</f>
        <v>Kopsu Original</v>
      </c>
      <c r="C37" s="39" t="str">
        <f>'Resep Menu'!C17</f>
        <v>B14</v>
      </c>
      <c r="D37" s="36" t="str">
        <f>'Resep Menu'!D17</f>
        <v>Cup Plastik 12oz + Tutup</v>
      </c>
      <c r="E37" s="40">
        <f>'Resep Menu'!E17</f>
        <v>1</v>
      </c>
      <c r="F37" s="39" t="str">
        <f>'Resep Menu'!F17</f>
        <v>pcs</v>
      </c>
      <c r="G37" s="35">
        <f t="shared" si="0"/>
        <v>50</v>
      </c>
      <c r="H37" s="40">
        <f t="shared" si="1"/>
        <v>50</v>
      </c>
      <c r="I37" s="39" t="str">
        <f>INDEX('Master Bahan Baku'!$E$5:$E$18,MATCH(C37,'Master Bahan Baku'!$A$5:$A$18,0))</f>
        <v>pcs</v>
      </c>
      <c r="J37" s="40">
        <f>IFERROR(H37/INDEX('Master Bahan Baku'!$F$5:$F$18,MATCH(C37,'Master Bahan Baku'!$A$5:$A$18,0)),0)</f>
        <v>50</v>
      </c>
      <c r="K37" s="17">
        <f>H37*INDEX('Master Bahan Baku'!$H$5:$H$18,MATCH(C37,'Master Bahan Baku'!$A$5:$A$18,0))</f>
        <v>42500</v>
      </c>
    </row>
    <row r="38" spans="1:11" ht="15" customHeight="1" x14ac:dyDescent="0.2">
      <c r="A38" s="35" t="str">
        <f>IF('Resep Menu'!A18="","",'Resep Menu'!A18)</f>
        <v/>
      </c>
      <c r="B38" s="36" t="str">
        <f>'Resep Menu'!B18</f>
        <v>Kopsu Original</v>
      </c>
      <c r="C38" s="39" t="str">
        <f>'Resep Menu'!C18</f>
        <v>B16</v>
      </c>
      <c r="D38" s="36" t="str">
        <f>'Resep Menu'!D18</f>
        <v>Sedotan</v>
      </c>
      <c r="E38" s="40">
        <f>'Resep Menu'!E18</f>
        <v>1</v>
      </c>
      <c r="F38" s="39" t="str">
        <f>'Resep Menu'!F18</f>
        <v>pcs</v>
      </c>
      <c r="G38" s="35">
        <f t="shared" si="0"/>
        <v>50</v>
      </c>
      <c r="H38" s="40">
        <f t="shared" si="1"/>
        <v>50</v>
      </c>
      <c r="I38" s="39" t="str">
        <f>INDEX('Master Bahan Baku'!$E$5:$E$18,MATCH(C38,'Master Bahan Baku'!$A$5:$A$18,0))</f>
        <v>pcs</v>
      </c>
      <c r="J38" s="40">
        <f>IFERROR(H38/INDEX('Master Bahan Baku'!$F$5:$F$18,MATCH(C38,'Master Bahan Baku'!$A$5:$A$18,0)),0)</f>
        <v>50</v>
      </c>
      <c r="K38" s="17">
        <f>H38*INDEX('Master Bahan Baku'!$H$5:$H$18,MATCH(C38,'Master Bahan Baku'!$A$5:$A$18,0))</f>
        <v>5000</v>
      </c>
    </row>
    <row r="39" spans="1:11" ht="15" customHeight="1" x14ac:dyDescent="0.2">
      <c r="A39" s="35">
        <f>IF('Resep Menu'!A19="","",'Resep Menu'!A19)</f>
        <v>3</v>
      </c>
      <c r="B39" s="36" t="str">
        <f>'Resep Menu'!B19</f>
        <v>Americano (Es)</v>
      </c>
      <c r="C39" s="39" t="str">
        <f>'Resep Menu'!C19</f>
        <v>B01</v>
      </c>
      <c r="D39" s="36" t="str">
        <f>'Resep Menu'!D19</f>
        <v>Kopi Robusta Bubuk/Biji</v>
      </c>
      <c r="E39" s="40">
        <f>'Resep Menu'!E19</f>
        <v>15</v>
      </c>
      <c r="F39" s="39" t="str">
        <f>'Resep Menu'!F19</f>
        <v>gram</v>
      </c>
      <c r="G39" s="35">
        <f t="shared" si="0"/>
        <v>50</v>
      </c>
      <c r="H39" s="40">
        <f t="shared" si="1"/>
        <v>750</v>
      </c>
      <c r="I39" s="39" t="str">
        <f>INDEX('Master Bahan Baku'!$E$5:$E$18,MATCH(C39,'Master Bahan Baku'!$A$5:$A$18,0))</f>
        <v>kg</v>
      </c>
      <c r="J39" s="40">
        <f>IFERROR(H39/INDEX('Master Bahan Baku'!$F$5:$F$18,MATCH(C39,'Master Bahan Baku'!$A$5:$A$18,0)),0)</f>
        <v>0.75</v>
      </c>
      <c r="K39" s="17">
        <f>H39*INDEX('Master Bahan Baku'!$H$5:$H$18,MATCH(C39,'Master Bahan Baku'!$A$5:$A$18,0))</f>
        <v>94500</v>
      </c>
    </row>
    <row r="40" spans="1:11" ht="15" customHeight="1" x14ac:dyDescent="0.2">
      <c r="A40" s="35" t="str">
        <f>IF('Resep Menu'!A20="","",'Resep Menu'!A20)</f>
        <v/>
      </c>
      <c r="B40" s="36" t="str">
        <f>'Resep Menu'!B20</f>
        <v>Americano (Es)</v>
      </c>
      <c r="C40" s="39" t="str">
        <f>'Resep Menu'!C20</f>
        <v>B06</v>
      </c>
      <c r="D40" s="36" t="str">
        <f>'Resep Menu'!D20</f>
        <v>Gula Cair (Simple Syrup)</v>
      </c>
      <c r="E40" s="40">
        <f>'Resep Menu'!E20</f>
        <v>10</v>
      </c>
      <c r="F40" s="39" t="str">
        <f>'Resep Menu'!F20</f>
        <v>ml</v>
      </c>
      <c r="G40" s="35">
        <f t="shared" si="0"/>
        <v>50</v>
      </c>
      <c r="H40" s="40">
        <f t="shared" si="1"/>
        <v>500</v>
      </c>
      <c r="I40" s="39" t="str">
        <f>INDEX('Master Bahan Baku'!$E$5:$E$18,MATCH(C40,'Master Bahan Baku'!$A$5:$A$18,0))</f>
        <v>liter</v>
      </c>
      <c r="J40" s="40">
        <f>IFERROR(H40/INDEX('Master Bahan Baku'!$F$5:$F$18,MATCH(C40,'Master Bahan Baku'!$A$5:$A$18,0)),0)</f>
        <v>0.5</v>
      </c>
      <c r="K40" s="17">
        <f>H40*INDEX('Master Bahan Baku'!$H$5:$H$18,MATCH(C40,'Master Bahan Baku'!$A$5:$A$18,0))</f>
        <v>7500</v>
      </c>
    </row>
    <row r="41" spans="1:11" ht="15" customHeight="1" x14ac:dyDescent="0.2">
      <c r="A41" s="35" t="str">
        <f>IF('Resep Menu'!A21="","",'Resep Menu'!A21)</f>
        <v/>
      </c>
      <c r="B41" s="36" t="str">
        <f>'Resep Menu'!B21</f>
        <v>Americano (Es)</v>
      </c>
      <c r="C41" s="39" t="str">
        <f>'Resep Menu'!C21</f>
        <v>B13</v>
      </c>
      <c r="D41" s="36" t="str">
        <f>'Resep Menu'!D21</f>
        <v>Es Batu</v>
      </c>
      <c r="E41" s="40">
        <f>'Resep Menu'!E21</f>
        <v>100</v>
      </c>
      <c r="F41" s="39" t="str">
        <f>'Resep Menu'!F21</f>
        <v>gram</v>
      </c>
      <c r="G41" s="35">
        <f t="shared" si="0"/>
        <v>50</v>
      </c>
      <c r="H41" s="40">
        <f t="shared" si="1"/>
        <v>5000</v>
      </c>
      <c r="I41" s="39" t="str">
        <f>INDEX('Master Bahan Baku'!$E$5:$E$18,MATCH(C41,'Master Bahan Baku'!$A$5:$A$18,0))</f>
        <v>kg</v>
      </c>
      <c r="J41" s="40">
        <f>IFERROR(H41/INDEX('Master Bahan Baku'!$F$5:$F$18,MATCH(C41,'Master Bahan Baku'!$A$5:$A$18,0)),0)</f>
        <v>5</v>
      </c>
      <c r="K41" s="17">
        <f>H41*INDEX('Master Bahan Baku'!$H$5:$H$18,MATCH(C41,'Master Bahan Baku'!$A$5:$A$18,0))</f>
        <v>15000</v>
      </c>
    </row>
    <row r="42" spans="1:11" ht="15" customHeight="1" x14ac:dyDescent="0.2">
      <c r="A42" s="35" t="str">
        <f>IF('Resep Menu'!A22="","",'Resep Menu'!A22)</f>
        <v/>
      </c>
      <c r="B42" s="36" t="str">
        <f>'Resep Menu'!B22</f>
        <v>Americano (Es)</v>
      </c>
      <c r="C42" s="39" t="str">
        <f>'Resep Menu'!C22</f>
        <v>B14</v>
      </c>
      <c r="D42" s="36" t="str">
        <f>'Resep Menu'!D22</f>
        <v>Cup Plastik 12oz + Tutup</v>
      </c>
      <c r="E42" s="40">
        <f>'Resep Menu'!E22</f>
        <v>1</v>
      </c>
      <c r="F42" s="39" t="str">
        <f>'Resep Menu'!F22</f>
        <v>pcs</v>
      </c>
      <c r="G42" s="35">
        <f t="shared" si="0"/>
        <v>50</v>
      </c>
      <c r="H42" s="40">
        <f t="shared" si="1"/>
        <v>50</v>
      </c>
      <c r="I42" s="39" t="str">
        <f>INDEX('Master Bahan Baku'!$E$5:$E$18,MATCH(C42,'Master Bahan Baku'!$A$5:$A$18,0))</f>
        <v>pcs</v>
      </c>
      <c r="J42" s="40">
        <f>IFERROR(H42/INDEX('Master Bahan Baku'!$F$5:$F$18,MATCH(C42,'Master Bahan Baku'!$A$5:$A$18,0)),0)</f>
        <v>50</v>
      </c>
      <c r="K42" s="17">
        <f>H42*INDEX('Master Bahan Baku'!$H$5:$H$18,MATCH(C42,'Master Bahan Baku'!$A$5:$A$18,0))</f>
        <v>42500</v>
      </c>
    </row>
    <row r="43" spans="1:11" ht="15" customHeight="1" x14ac:dyDescent="0.2">
      <c r="A43" s="35" t="str">
        <f>IF('Resep Menu'!A23="","",'Resep Menu'!A23)</f>
        <v/>
      </c>
      <c r="B43" s="36" t="str">
        <f>'Resep Menu'!B23</f>
        <v>Americano (Es)</v>
      </c>
      <c r="C43" s="39" t="str">
        <f>'Resep Menu'!C23</f>
        <v>B16</v>
      </c>
      <c r="D43" s="36" t="str">
        <f>'Resep Menu'!D23</f>
        <v>Sedotan</v>
      </c>
      <c r="E43" s="40">
        <f>'Resep Menu'!E23</f>
        <v>1</v>
      </c>
      <c r="F43" s="39" t="str">
        <f>'Resep Menu'!F23</f>
        <v>pcs</v>
      </c>
      <c r="G43" s="35">
        <f t="shared" si="0"/>
        <v>50</v>
      </c>
      <c r="H43" s="40">
        <f t="shared" si="1"/>
        <v>50</v>
      </c>
      <c r="I43" s="39" t="str">
        <f>INDEX('Master Bahan Baku'!$E$5:$E$18,MATCH(C43,'Master Bahan Baku'!$A$5:$A$18,0))</f>
        <v>pcs</v>
      </c>
      <c r="J43" s="40">
        <f>IFERROR(H43/INDEX('Master Bahan Baku'!$F$5:$F$18,MATCH(C43,'Master Bahan Baku'!$A$5:$A$18,0)),0)</f>
        <v>50</v>
      </c>
      <c r="K43" s="17">
        <f>H43*INDEX('Master Bahan Baku'!$H$5:$H$18,MATCH(C43,'Master Bahan Baku'!$A$5:$A$18,0))</f>
        <v>5000</v>
      </c>
    </row>
    <row r="44" spans="1:11" ht="15" customHeight="1" x14ac:dyDescent="0.2">
      <c r="A44" s="35">
        <f>IF('Resep Menu'!A24="","",'Resep Menu'!A24)</f>
        <v>4</v>
      </c>
      <c r="B44" s="36" t="str">
        <f>'Resep Menu'!B24</f>
        <v>Cappuccino (Panas)</v>
      </c>
      <c r="C44" s="39" t="str">
        <f>'Resep Menu'!C24</f>
        <v>B02</v>
      </c>
      <c r="D44" s="36" t="str">
        <f>'Resep Menu'!D24</f>
        <v>Kopi Blend Bubuk/Biji</v>
      </c>
      <c r="E44" s="40">
        <f>'Resep Menu'!E24</f>
        <v>18</v>
      </c>
      <c r="F44" s="39" t="str">
        <f>'Resep Menu'!F24</f>
        <v>gram</v>
      </c>
      <c r="G44" s="35">
        <f t="shared" si="0"/>
        <v>50</v>
      </c>
      <c r="H44" s="40">
        <f t="shared" si="1"/>
        <v>900</v>
      </c>
      <c r="I44" s="39" t="str">
        <f>INDEX('Master Bahan Baku'!$E$5:$E$18,MATCH(C44,'Master Bahan Baku'!$A$5:$A$18,0))</f>
        <v>kg</v>
      </c>
      <c r="J44" s="40">
        <f>IFERROR(H44/INDEX('Master Bahan Baku'!$F$5:$F$18,MATCH(C44,'Master Bahan Baku'!$A$5:$A$18,0)),0)</f>
        <v>0.9</v>
      </c>
      <c r="K44" s="17">
        <f>H44*INDEX('Master Bahan Baku'!$H$5:$H$18,MATCH(C44,'Master Bahan Baku'!$A$5:$A$18,0))</f>
        <v>180000</v>
      </c>
    </row>
    <row r="45" spans="1:11" ht="15" customHeight="1" x14ac:dyDescent="0.2">
      <c r="A45" s="35" t="str">
        <f>IF('Resep Menu'!A25="","",'Resep Menu'!A25)</f>
        <v/>
      </c>
      <c r="B45" s="36" t="str">
        <f>'Resep Menu'!B25</f>
        <v>Cappuccino (Panas)</v>
      </c>
      <c r="C45" s="39" t="str">
        <f>'Resep Menu'!C25</f>
        <v>B03</v>
      </c>
      <c r="D45" s="36" t="str">
        <f>'Resep Menu'!D25</f>
        <v>Susu Full Cream UHT</v>
      </c>
      <c r="E45" s="40">
        <f>'Resep Menu'!E25</f>
        <v>100</v>
      </c>
      <c r="F45" s="39" t="str">
        <f>'Resep Menu'!F25</f>
        <v>ml</v>
      </c>
      <c r="G45" s="35">
        <f t="shared" si="0"/>
        <v>50</v>
      </c>
      <c r="H45" s="40">
        <f t="shared" si="1"/>
        <v>5000</v>
      </c>
      <c r="I45" s="39" t="str">
        <f>INDEX('Master Bahan Baku'!$E$5:$E$18,MATCH(C45,'Master Bahan Baku'!$A$5:$A$18,0))</f>
        <v>liter</v>
      </c>
      <c r="J45" s="40">
        <f>IFERROR(H45/INDEX('Master Bahan Baku'!$F$5:$F$18,MATCH(C45,'Master Bahan Baku'!$A$5:$A$18,0)),0)</f>
        <v>5</v>
      </c>
      <c r="K45" s="17">
        <f>H45*INDEX('Master Bahan Baku'!$H$5:$H$18,MATCH(C45,'Master Bahan Baku'!$A$5:$A$18,0))</f>
        <v>110000</v>
      </c>
    </row>
    <row r="46" spans="1:11" ht="15" customHeight="1" x14ac:dyDescent="0.2">
      <c r="A46" s="35" t="str">
        <f>IF('Resep Menu'!A26="","",'Resep Menu'!A26)</f>
        <v/>
      </c>
      <c r="B46" s="36" t="str">
        <f>'Resep Menu'!B26</f>
        <v>Cappuccino (Panas)</v>
      </c>
      <c r="C46" s="39" t="str">
        <f>'Resep Menu'!C26</f>
        <v>B20</v>
      </c>
      <c r="D46" s="36" t="str">
        <f>'Resep Menu'!D26</f>
        <v>Krimer Bubuk</v>
      </c>
      <c r="E46" s="40">
        <f>'Resep Menu'!E26</f>
        <v>25</v>
      </c>
      <c r="F46" s="39" t="str">
        <f>'Resep Menu'!F26</f>
        <v>gram</v>
      </c>
      <c r="G46" s="35">
        <f t="shared" si="0"/>
        <v>50</v>
      </c>
      <c r="H46" s="40">
        <f t="shared" si="1"/>
        <v>1250</v>
      </c>
      <c r="I46" s="39" t="str">
        <f>INDEX('Master Bahan Baku'!$E$5:$E$18,MATCH(C46,'Master Bahan Baku'!$A$5:$A$18,0))</f>
        <v>kg</v>
      </c>
      <c r="J46" s="40">
        <f>IFERROR(H46/INDEX('Master Bahan Baku'!$F$5:$F$18,MATCH(C46,'Master Bahan Baku'!$A$5:$A$18,0)),0)</f>
        <v>1.25</v>
      </c>
      <c r="K46" s="17">
        <f>H46*INDEX('Master Bahan Baku'!$H$5:$H$18,MATCH(C46,'Master Bahan Baku'!$A$5:$A$18,0))</f>
        <v>68750</v>
      </c>
    </row>
    <row r="47" spans="1:11" ht="15" customHeight="1" x14ac:dyDescent="0.2">
      <c r="A47" s="35" t="str">
        <f>IF('Resep Menu'!A27="","",'Resep Menu'!A27)</f>
        <v/>
      </c>
      <c r="B47" s="36" t="str">
        <f>'Resep Menu'!B27</f>
        <v>Cappuccino (Panas)</v>
      </c>
      <c r="C47" s="39" t="str">
        <f>'Resep Menu'!C27</f>
        <v>B14</v>
      </c>
      <c r="D47" s="36" t="str">
        <f>'Resep Menu'!D27</f>
        <v>Cup Plastik 12oz + Tutup</v>
      </c>
      <c r="E47" s="40">
        <f>'Resep Menu'!E27</f>
        <v>1</v>
      </c>
      <c r="F47" s="39" t="str">
        <f>'Resep Menu'!F27</f>
        <v>pcs</v>
      </c>
      <c r="G47" s="35">
        <f t="shared" si="0"/>
        <v>50</v>
      </c>
      <c r="H47" s="40">
        <f t="shared" si="1"/>
        <v>50</v>
      </c>
      <c r="I47" s="39" t="str">
        <f>INDEX('Master Bahan Baku'!$E$5:$E$18,MATCH(C47,'Master Bahan Baku'!$A$5:$A$18,0))</f>
        <v>pcs</v>
      </c>
      <c r="J47" s="40">
        <f>IFERROR(H47/INDEX('Master Bahan Baku'!$F$5:$F$18,MATCH(C47,'Master Bahan Baku'!$A$5:$A$18,0)),0)</f>
        <v>50</v>
      </c>
      <c r="K47" s="17">
        <f>H47*INDEX('Master Bahan Baku'!$H$5:$H$18,MATCH(C47,'Master Bahan Baku'!$A$5:$A$18,0))</f>
        <v>42500</v>
      </c>
    </row>
    <row r="48" spans="1:11" ht="15" customHeight="1" x14ac:dyDescent="0.2">
      <c r="A48" s="35">
        <f>IF('Resep Menu'!A28="","",'Resep Menu'!A28)</f>
        <v>5</v>
      </c>
      <c r="B48" s="36" t="str">
        <f>'Resep Menu'!B28</f>
        <v>Matcha</v>
      </c>
      <c r="C48" s="39" t="str">
        <f>'Resep Menu'!C28</f>
        <v>B09</v>
      </c>
      <c r="D48" s="36" t="str">
        <f>'Resep Menu'!D28</f>
        <v>Bubuk Matcha</v>
      </c>
      <c r="E48" s="40">
        <f>'Resep Menu'!E28</f>
        <v>8</v>
      </c>
      <c r="F48" s="39" t="str">
        <f>'Resep Menu'!F28</f>
        <v>gram</v>
      </c>
      <c r="G48" s="35">
        <f t="shared" si="0"/>
        <v>50</v>
      </c>
      <c r="H48" s="40">
        <f t="shared" si="1"/>
        <v>400</v>
      </c>
      <c r="I48" s="39" t="str">
        <f>INDEX('Master Bahan Baku'!$E$5:$E$18,MATCH(C48,'Master Bahan Baku'!$A$5:$A$18,0))</f>
        <v>gram</v>
      </c>
      <c r="J48" s="40">
        <f>IFERROR(H48/INDEX('Master Bahan Baku'!$F$5:$F$18,MATCH(C48,'Master Bahan Baku'!$A$5:$A$18,0)),0)</f>
        <v>4</v>
      </c>
      <c r="K48" s="17">
        <f>H48*INDEX('Master Bahan Baku'!$H$5:$H$18,MATCH(C48,'Master Bahan Baku'!$A$5:$A$18,0))</f>
        <v>468000</v>
      </c>
    </row>
    <row r="49" spans="1:11" ht="15" customHeight="1" x14ac:dyDescent="0.2">
      <c r="A49" s="35" t="str">
        <f>IF('Resep Menu'!A29="","",'Resep Menu'!A29)</f>
        <v/>
      </c>
      <c r="B49" s="36" t="str">
        <f>'Resep Menu'!B29</f>
        <v>Matcha</v>
      </c>
      <c r="C49" s="39" t="str">
        <f>'Resep Menu'!C29</f>
        <v>B03</v>
      </c>
      <c r="D49" s="36" t="str">
        <f>'Resep Menu'!D29</f>
        <v>Susu Full Cream UHT</v>
      </c>
      <c r="E49" s="40">
        <f>'Resep Menu'!E29</f>
        <v>100</v>
      </c>
      <c r="F49" s="39" t="str">
        <f>'Resep Menu'!F29</f>
        <v>ml</v>
      </c>
      <c r="G49" s="35">
        <f t="shared" si="0"/>
        <v>50</v>
      </c>
      <c r="H49" s="40">
        <f t="shared" si="1"/>
        <v>5000</v>
      </c>
      <c r="I49" s="39" t="str">
        <f>INDEX('Master Bahan Baku'!$E$5:$E$18,MATCH(C49,'Master Bahan Baku'!$A$5:$A$18,0))</f>
        <v>liter</v>
      </c>
      <c r="J49" s="40">
        <f>IFERROR(H49/INDEX('Master Bahan Baku'!$F$5:$F$18,MATCH(C49,'Master Bahan Baku'!$A$5:$A$18,0)),0)</f>
        <v>5</v>
      </c>
      <c r="K49" s="17">
        <f>H49*INDEX('Master Bahan Baku'!$H$5:$H$18,MATCH(C49,'Master Bahan Baku'!$A$5:$A$18,0))</f>
        <v>110000</v>
      </c>
    </row>
    <row r="50" spans="1:11" ht="15" customHeight="1" x14ac:dyDescent="0.2">
      <c r="A50" s="35" t="str">
        <f>IF('Resep Menu'!A30="","",'Resep Menu'!A30)</f>
        <v/>
      </c>
      <c r="B50" s="36" t="str">
        <f>'Resep Menu'!B30</f>
        <v>Matcha</v>
      </c>
      <c r="C50" s="39" t="str">
        <f>'Resep Menu'!C30</f>
        <v>B20</v>
      </c>
      <c r="D50" s="36" t="str">
        <f>'Resep Menu'!D30</f>
        <v>Krimer Bubuk</v>
      </c>
      <c r="E50" s="40">
        <f>'Resep Menu'!E30</f>
        <v>10</v>
      </c>
      <c r="F50" s="39" t="str">
        <f>'Resep Menu'!F30</f>
        <v>gram</v>
      </c>
      <c r="G50" s="35">
        <f t="shared" si="0"/>
        <v>50</v>
      </c>
      <c r="H50" s="40">
        <f t="shared" si="1"/>
        <v>500</v>
      </c>
      <c r="I50" s="39" t="str">
        <f>INDEX('Master Bahan Baku'!$E$5:$E$18,MATCH(C50,'Master Bahan Baku'!$A$5:$A$18,0))</f>
        <v>kg</v>
      </c>
      <c r="J50" s="40">
        <f>IFERROR(H50/INDEX('Master Bahan Baku'!$F$5:$F$18,MATCH(C50,'Master Bahan Baku'!$A$5:$A$18,0)),0)</f>
        <v>0.5</v>
      </c>
      <c r="K50" s="17">
        <f>H50*INDEX('Master Bahan Baku'!$H$5:$H$18,MATCH(C50,'Master Bahan Baku'!$A$5:$A$18,0))</f>
        <v>27500</v>
      </c>
    </row>
    <row r="51" spans="1:11" ht="15" customHeight="1" x14ac:dyDescent="0.2">
      <c r="A51" s="35" t="str">
        <f>IF('Resep Menu'!A31="","",'Resep Menu'!A31)</f>
        <v/>
      </c>
      <c r="B51" s="36" t="str">
        <f>'Resep Menu'!B31</f>
        <v>Matcha</v>
      </c>
      <c r="C51" s="39" t="str">
        <f>'Resep Menu'!C31</f>
        <v>B06</v>
      </c>
      <c r="D51" s="36" t="str">
        <f>'Resep Menu'!D31</f>
        <v>Gula Cair (Simple Syrup)</v>
      </c>
      <c r="E51" s="40">
        <f>'Resep Menu'!E31</f>
        <v>20</v>
      </c>
      <c r="F51" s="39" t="str">
        <f>'Resep Menu'!F31</f>
        <v>ml</v>
      </c>
      <c r="G51" s="35">
        <f t="shared" si="0"/>
        <v>50</v>
      </c>
      <c r="H51" s="40">
        <f t="shared" si="1"/>
        <v>1000</v>
      </c>
      <c r="I51" s="39" t="str">
        <f>INDEX('Master Bahan Baku'!$E$5:$E$18,MATCH(C51,'Master Bahan Baku'!$A$5:$A$18,0))</f>
        <v>liter</v>
      </c>
      <c r="J51" s="40">
        <f>IFERROR(H51/INDEX('Master Bahan Baku'!$F$5:$F$18,MATCH(C51,'Master Bahan Baku'!$A$5:$A$18,0)),0)</f>
        <v>1</v>
      </c>
      <c r="K51" s="17">
        <f>H51*INDEX('Master Bahan Baku'!$H$5:$H$18,MATCH(C51,'Master Bahan Baku'!$A$5:$A$18,0))</f>
        <v>15000</v>
      </c>
    </row>
    <row r="52" spans="1:11" ht="15" customHeight="1" x14ac:dyDescent="0.2">
      <c r="A52" s="35" t="str">
        <f>IF('Resep Menu'!A32="","",'Resep Menu'!A32)</f>
        <v/>
      </c>
      <c r="B52" s="36" t="str">
        <f>'Resep Menu'!B32</f>
        <v>Matcha</v>
      </c>
      <c r="C52" s="39" t="str">
        <f>'Resep Menu'!C32</f>
        <v>B13</v>
      </c>
      <c r="D52" s="36" t="str">
        <f>'Resep Menu'!D32</f>
        <v>Es Batu</v>
      </c>
      <c r="E52" s="40">
        <f>'Resep Menu'!E32</f>
        <v>100</v>
      </c>
      <c r="F52" s="39" t="str">
        <f>'Resep Menu'!F32</f>
        <v>gram</v>
      </c>
      <c r="G52" s="35">
        <f t="shared" si="0"/>
        <v>50</v>
      </c>
      <c r="H52" s="40">
        <f t="shared" si="1"/>
        <v>5000</v>
      </c>
      <c r="I52" s="39" t="str">
        <f>INDEX('Master Bahan Baku'!$E$5:$E$18,MATCH(C52,'Master Bahan Baku'!$A$5:$A$18,0))</f>
        <v>kg</v>
      </c>
      <c r="J52" s="40">
        <f>IFERROR(H52/INDEX('Master Bahan Baku'!$F$5:$F$18,MATCH(C52,'Master Bahan Baku'!$A$5:$A$18,0)),0)</f>
        <v>5</v>
      </c>
      <c r="K52" s="17">
        <f>H52*INDEX('Master Bahan Baku'!$H$5:$H$18,MATCH(C52,'Master Bahan Baku'!$A$5:$A$18,0))</f>
        <v>15000</v>
      </c>
    </row>
    <row r="53" spans="1:11" ht="15" customHeight="1" x14ac:dyDescent="0.2">
      <c r="A53" s="35" t="str">
        <f>IF('Resep Menu'!A33="","",'Resep Menu'!A33)</f>
        <v/>
      </c>
      <c r="B53" s="36" t="str">
        <f>'Resep Menu'!B33</f>
        <v>Matcha</v>
      </c>
      <c r="C53" s="39" t="str">
        <f>'Resep Menu'!C33</f>
        <v>B14</v>
      </c>
      <c r="D53" s="36" t="str">
        <f>'Resep Menu'!D33</f>
        <v>Cup Plastik 12oz + Tutup</v>
      </c>
      <c r="E53" s="40">
        <f>'Resep Menu'!E33</f>
        <v>1</v>
      </c>
      <c r="F53" s="39" t="str">
        <f>'Resep Menu'!F33</f>
        <v>pcs</v>
      </c>
      <c r="G53" s="35">
        <f t="shared" si="0"/>
        <v>50</v>
      </c>
      <c r="H53" s="40">
        <f t="shared" si="1"/>
        <v>50</v>
      </c>
      <c r="I53" s="39" t="str">
        <f>INDEX('Master Bahan Baku'!$E$5:$E$18,MATCH(C53,'Master Bahan Baku'!$A$5:$A$18,0))</f>
        <v>pcs</v>
      </c>
      <c r="J53" s="40">
        <f>IFERROR(H53/INDEX('Master Bahan Baku'!$F$5:$F$18,MATCH(C53,'Master Bahan Baku'!$A$5:$A$18,0)),0)</f>
        <v>50</v>
      </c>
      <c r="K53" s="17">
        <f>H53*INDEX('Master Bahan Baku'!$H$5:$H$18,MATCH(C53,'Master Bahan Baku'!$A$5:$A$18,0))</f>
        <v>42500</v>
      </c>
    </row>
    <row r="54" spans="1:11" ht="15" customHeight="1" x14ac:dyDescent="0.2">
      <c r="A54" s="35" t="str">
        <f>IF('Resep Menu'!A34="","",'Resep Menu'!A34)</f>
        <v/>
      </c>
      <c r="B54" s="36" t="str">
        <f>'Resep Menu'!B34</f>
        <v>Matcha</v>
      </c>
      <c r="C54" s="39" t="str">
        <f>'Resep Menu'!C34</f>
        <v>B16</v>
      </c>
      <c r="D54" s="36" t="str">
        <f>'Resep Menu'!D34</f>
        <v>Sedotan</v>
      </c>
      <c r="E54" s="40">
        <f>'Resep Menu'!E34</f>
        <v>1</v>
      </c>
      <c r="F54" s="39" t="str">
        <f>'Resep Menu'!F34</f>
        <v>pcs</v>
      </c>
      <c r="G54" s="35">
        <f t="shared" si="0"/>
        <v>50</v>
      </c>
      <c r="H54" s="40">
        <f t="shared" si="1"/>
        <v>50</v>
      </c>
      <c r="I54" s="39" t="str">
        <f>INDEX('Master Bahan Baku'!$E$5:$E$18,MATCH(C54,'Master Bahan Baku'!$A$5:$A$18,0))</f>
        <v>pcs</v>
      </c>
      <c r="J54" s="40">
        <f>IFERROR(H54/INDEX('Master Bahan Baku'!$F$5:$F$18,MATCH(C54,'Master Bahan Baku'!$A$5:$A$18,0)),0)</f>
        <v>50</v>
      </c>
      <c r="K54" s="17">
        <f>H54*INDEX('Master Bahan Baku'!$H$5:$H$18,MATCH(C54,'Master Bahan Baku'!$A$5:$A$18,0))</f>
        <v>5000</v>
      </c>
    </row>
    <row r="55" spans="1:11" ht="15" customHeight="1" x14ac:dyDescent="0.2">
      <c r="A55" s="35">
        <f>IF('Resep Menu'!A35="","",'Resep Menu'!A35)</f>
        <v>6</v>
      </c>
      <c r="B55" s="36" t="str">
        <f>'Resep Menu'!B35</f>
        <v>Kopsu Singgah Aren</v>
      </c>
      <c r="C55" s="39" t="str">
        <f>'Resep Menu'!C35</f>
        <v>B02</v>
      </c>
      <c r="D55" s="36" t="str">
        <f>'Resep Menu'!D35</f>
        <v>Kopi Blend Bubuk/Biji</v>
      </c>
      <c r="E55" s="40">
        <f>'Resep Menu'!E35</f>
        <v>18</v>
      </c>
      <c r="F55" s="39" t="str">
        <f>'Resep Menu'!F35</f>
        <v>gram</v>
      </c>
      <c r="G55" s="35">
        <f t="shared" si="0"/>
        <v>50</v>
      </c>
      <c r="H55" s="40">
        <f t="shared" si="1"/>
        <v>900</v>
      </c>
      <c r="I55" s="39" t="str">
        <f>INDEX('Master Bahan Baku'!$E$5:$E$18,MATCH(C55,'Master Bahan Baku'!$A$5:$A$18,0))</f>
        <v>kg</v>
      </c>
      <c r="J55" s="40">
        <f>IFERROR(H55/INDEX('Master Bahan Baku'!$F$5:$F$18,MATCH(C55,'Master Bahan Baku'!$A$5:$A$18,0)),0)</f>
        <v>0.9</v>
      </c>
      <c r="K55" s="17">
        <f>H55*INDEX('Master Bahan Baku'!$H$5:$H$18,MATCH(C55,'Master Bahan Baku'!$A$5:$A$18,0))</f>
        <v>180000</v>
      </c>
    </row>
    <row r="56" spans="1:11" ht="15" customHeight="1" x14ac:dyDescent="0.2">
      <c r="A56" s="35" t="str">
        <f>IF('Resep Menu'!A36="","",'Resep Menu'!A36)</f>
        <v/>
      </c>
      <c r="B56" s="36" t="str">
        <f>'Resep Menu'!B36</f>
        <v>Kopsu Singgah Aren</v>
      </c>
      <c r="C56" s="39" t="str">
        <f>'Resep Menu'!C36</f>
        <v>B03</v>
      </c>
      <c r="D56" s="36" t="str">
        <f>'Resep Menu'!D36</f>
        <v>Susu Full Cream UHT</v>
      </c>
      <c r="E56" s="40">
        <f>'Resep Menu'!E36</f>
        <v>100</v>
      </c>
      <c r="F56" s="39" t="str">
        <f>'Resep Menu'!F36</f>
        <v>ml</v>
      </c>
      <c r="G56" s="35">
        <f t="shared" si="0"/>
        <v>50</v>
      </c>
      <c r="H56" s="40">
        <f t="shared" si="1"/>
        <v>5000</v>
      </c>
      <c r="I56" s="39" t="str">
        <f>INDEX('Master Bahan Baku'!$E$5:$E$18,MATCH(C56,'Master Bahan Baku'!$A$5:$A$18,0))</f>
        <v>liter</v>
      </c>
      <c r="J56" s="40">
        <f>IFERROR(H56/INDEX('Master Bahan Baku'!$F$5:$F$18,MATCH(C56,'Master Bahan Baku'!$A$5:$A$18,0)),0)</f>
        <v>5</v>
      </c>
      <c r="K56" s="17">
        <f>H56*INDEX('Master Bahan Baku'!$H$5:$H$18,MATCH(C56,'Master Bahan Baku'!$A$5:$A$18,0))</f>
        <v>110000</v>
      </c>
    </row>
    <row r="57" spans="1:11" ht="15" customHeight="1" x14ac:dyDescent="0.2">
      <c r="A57" s="35" t="str">
        <f>IF('Resep Menu'!A37="","",'Resep Menu'!A37)</f>
        <v/>
      </c>
      <c r="B57" s="36" t="str">
        <f>'Resep Menu'!B37</f>
        <v>Kopsu Singgah Aren</v>
      </c>
      <c r="C57" s="39" t="str">
        <f>'Resep Menu'!C37</f>
        <v>B20</v>
      </c>
      <c r="D57" s="36" t="str">
        <f>'Resep Menu'!D37</f>
        <v>Krimer Bubuk</v>
      </c>
      <c r="E57" s="40">
        <f>'Resep Menu'!E37</f>
        <v>25</v>
      </c>
      <c r="F57" s="39" t="str">
        <f>'Resep Menu'!F37</f>
        <v>gram</v>
      </c>
      <c r="G57" s="35">
        <f t="shared" ref="G57:G88" si="2">INDEX($G$6:$G$15,MATCH(B57,$B$6:$B$15,0))</f>
        <v>50</v>
      </c>
      <c r="H57" s="40">
        <f t="shared" ref="H57:H88" si="3">E57*G57</f>
        <v>1250</v>
      </c>
      <c r="I57" s="39" t="str">
        <f>INDEX('Master Bahan Baku'!$E$5:$E$18,MATCH(C57,'Master Bahan Baku'!$A$5:$A$18,0))</f>
        <v>kg</v>
      </c>
      <c r="J57" s="40">
        <f>IFERROR(H57/INDEX('Master Bahan Baku'!$F$5:$F$18,MATCH(C57,'Master Bahan Baku'!$A$5:$A$18,0)),0)</f>
        <v>1.25</v>
      </c>
      <c r="K57" s="17">
        <f>H57*INDEX('Master Bahan Baku'!$H$5:$H$18,MATCH(C57,'Master Bahan Baku'!$A$5:$A$18,0))</f>
        <v>68750</v>
      </c>
    </row>
    <row r="58" spans="1:11" ht="15" customHeight="1" x14ac:dyDescent="0.2">
      <c r="A58" s="35" t="str">
        <f>IF('Resep Menu'!A38="","",'Resep Menu'!A38)</f>
        <v/>
      </c>
      <c r="B58" s="36" t="str">
        <f>'Resep Menu'!B38</f>
        <v>Kopsu Singgah Aren</v>
      </c>
      <c r="C58" s="39" t="str">
        <f>'Resep Menu'!C38</f>
        <v>B05</v>
      </c>
      <c r="D58" s="36" t="str">
        <f>'Resep Menu'!D38</f>
        <v>Gula Aren Cair (Palm Sugar Syrup)</v>
      </c>
      <c r="E58" s="40">
        <f>'Resep Menu'!E38</f>
        <v>30</v>
      </c>
      <c r="F58" s="39" t="str">
        <f>'Resep Menu'!F38</f>
        <v>ml</v>
      </c>
      <c r="G58" s="35">
        <f t="shared" si="2"/>
        <v>50</v>
      </c>
      <c r="H58" s="40">
        <f t="shared" si="3"/>
        <v>1500</v>
      </c>
      <c r="I58" s="39" t="str">
        <f>INDEX('Master Bahan Baku'!$E$5:$E$18,MATCH(C58,'Master Bahan Baku'!$A$5:$A$18,0))</f>
        <v>liter</v>
      </c>
      <c r="J58" s="40">
        <f>IFERROR(H58/INDEX('Master Bahan Baku'!$F$5:$F$18,MATCH(C58,'Master Bahan Baku'!$A$5:$A$18,0)),0)</f>
        <v>1.5</v>
      </c>
      <c r="K58" s="17">
        <f>H58*INDEX('Master Bahan Baku'!$H$5:$H$18,MATCH(C58,'Master Bahan Baku'!$A$5:$A$18,0))</f>
        <v>52500</v>
      </c>
    </row>
    <row r="59" spans="1:11" ht="15" customHeight="1" x14ac:dyDescent="0.2">
      <c r="A59" s="35" t="str">
        <f>IF('Resep Menu'!A39="","",'Resep Menu'!A39)</f>
        <v/>
      </c>
      <c r="B59" s="36" t="str">
        <f>'Resep Menu'!B39</f>
        <v>Kopsu Singgah Aren</v>
      </c>
      <c r="C59" s="39" t="str">
        <f>'Resep Menu'!C39</f>
        <v>B08</v>
      </c>
      <c r="D59" s="36" t="str">
        <f>'Resep Menu'!D39</f>
        <v>Garam Laut (Sea Salt)</v>
      </c>
      <c r="E59" s="40">
        <f>'Resep Menu'!E39</f>
        <v>1</v>
      </c>
      <c r="F59" s="39" t="str">
        <f>'Resep Menu'!F39</f>
        <v>gram</v>
      </c>
      <c r="G59" s="35">
        <f t="shared" si="2"/>
        <v>50</v>
      </c>
      <c r="H59" s="40">
        <f t="shared" si="3"/>
        <v>50</v>
      </c>
      <c r="I59" s="39" t="str">
        <f>INDEX('Master Bahan Baku'!$E$5:$E$18,MATCH(C59,'Master Bahan Baku'!$A$5:$A$18,0))</f>
        <v>kg</v>
      </c>
      <c r="J59" s="40">
        <f>IFERROR(H59/INDEX('Master Bahan Baku'!$F$5:$F$18,MATCH(C59,'Master Bahan Baku'!$A$5:$A$18,0)),0)</f>
        <v>0.05</v>
      </c>
      <c r="K59" s="17">
        <f>H59*INDEX('Master Bahan Baku'!$H$5:$H$18,MATCH(C59,'Master Bahan Baku'!$A$5:$A$18,0))</f>
        <v>1000</v>
      </c>
    </row>
    <row r="60" spans="1:11" ht="15" customHeight="1" x14ac:dyDescent="0.2">
      <c r="A60" s="35" t="str">
        <f>IF('Resep Menu'!A40="","",'Resep Menu'!A40)</f>
        <v/>
      </c>
      <c r="B60" s="36" t="str">
        <f>'Resep Menu'!B40</f>
        <v>Kopsu Singgah Aren</v>
      </c>
      <c r="C60" s="39" t="str">
        <f>'Resep Menu'!C40</f>
        <v>B13</v>
      </c>
      <c r="D60" s="36" t="str">
        <f>'Resep Menu'!D40</f>
        <v>Es Batu</v>
      </c>
      <c r="E60" s="40">
        <f>'Resep Menu'!E40</f>
        <v>100</v>
      </c>
      <c r="F60" s="39" t="str">
        <f>'Resep Menu'!F40</f>
        <v>gram</v>
      </c>
      <c r="G60" s="35">
        <f t="shared" si="2"/>
        <v>50</v>
      </c>
      <c r="H60" s="40">
        <f t="shared" si="3"/>
        <v>5000</v>
      </c>
      <c r="I60" s="39" t="str">
        <f>INDEX('Master Bahan Baku'!$E$5:$E$18,MATCH(C60,'Master Bahan Baku'!$A$5:$A$18,0))</f>
        <v>kg</v>
      </c>
      <c r="J60" s="40">
        <f>IFERROR(H60/INDEX('Master Bahan Baku'!$F$5:$F$18,MATCH(C60,'Master Bahan Baku'!$A$5:$A$18,0)),0)</f>
        <v>5</v>
      </c>
      <c r="K60" s="17">
        <f>H60*INDEX('Master Bahan Baku'!$H$5:$H$18,MATCH(C60,'Master Bahan Baku'!$A$5:$A$18,0))</f>
        <v>15000</v>
      </c>
    </row>
    <row r="61" spans="1:11" ht="15" customHeight="1" x14ac:dyDescent="0.2">
      <c r="A61" s="35" t="str">
        <f>IF('Resep Menu'!A41="","",'Resep Menu'!A41)</f>
        <v/>
      </c>
      <c r="B61" s="36" t="str">
        <f>'Resep Menu'!B41</f>
        <v>Kopsu Singgah Aren</v>
      </c>
      <c r="C61" s="39" t="str">
        <f>'Resep Menu'!C41</f>
        <v>B14</v>
      </c>
      <c r="D61" s="36" t="str">
        <f>'Resep Menu'!D41</f>
        <v>Cup Plastik 12oz + Tutup</v>
      </c>
      <c r="E61" s="40">
        <f>'Resep Menu'!E41</f>
        <v>1</v>
      </c>
      <c r="F61" s="39" t="str">
        <f>'Resep Menu'!F41</f>
        <v>pcs</v>
      </c>
      <c r="G61" s="35">
        <f t="shared" si="2"/>
        <v>50</v>
      </c>
      <c r="H61" s="40">
        <f t="shared" si="3"/>
        <v>50</v>
      </c>
      <c r="I61" s="39" t="str">
        <f>INDEX('Master Bahan Baku'!$E$5:$E$18,MATCH(C61,'Master Bahan Baku'!$A$5:$A$18,0))</f>
        <v>pcs</v>
      </c>
      <c r="J61" s="40">
        <f>IFERROR(H61/INDEX('Master Bahan Baku'!$F$5:$F$18,MATCH(C61,'Master Bahan Baku'!$A$5:$A$18,0)),0)</f>
        <v>50</v>
      </c>
      <c r="K61" s="17">
        <f>H61*INDEX('Master Bahan Baku'!$H$5:$H$18,MATCH(C61,'Master Bahan Baku'!$A$5:$A$18,0))</f>
        <v>42500</v>
      </c>
    </row>
    <row r="62" spans="1:11" ht="15" customHeight="1" x14ac:dyDescent="0.2">
      <c r="A62" s="35" t="str">
        <f>IF('Resep Menu'!A42="","",'Resep Menu'!A42)</f>
        <v/>
      </c>
      <c r="B62" s="36" t="str">
        <f>'Resep Menu'!B42</f>
        <v>Kopsu Singgah Aren</v>
      </c>
      <c r="C62" s="39" t="str">
        <f>'Resep Menu'!C42</f>
        <v>B16</v>
      </c>
      <c r="D62" s="36" t="str">
        <f>'Resep Menu'!D42</f>
        <v>Sedotan</v>
      </c>
      <c r="E62" s="40">
        <f>'Resep Menu'!E42</f>
        <v>1</v>
      </c>
      <c r="F62" s="39" t="str">
        <f>'Resep Menu'!F42</f>
        <v>pcs</v>
      </c>
      <c r="G62" s="35">
        <f t="shared" si="2"/>
        <v>50</v>
      </c>
      <c r="H62" s="40">
        <f t="shared" si="3"/>
        <v>50</v>
      </c>
      <c r="I62" s="39" t="str">
        <f>INDEX('Master Bahan Baku'!$E$5:$E$18,MATCH(C62,'Master Bahan Baku'!$A$5:$A$18,0))</f>
        <v>pcs</v>
      </c>
      <c r="J62" s="40">
        <f>IFERROR(H62/INDEX('Master Bahan Baku'!$F$5:$F$18,MATCH(C62,'Master Bahan Baku'!$A$5:$A$18,0)),0)</f>
        <v>50</v>
      </c>
      <c r="K62" s="17">
        <f>H62*INDEX('Master Bahan Baku'!$H$5:$H$18,MATCH(C62,'Master Bahan Baku'!$A$5:$A$18,0))</f>
        <v>5000</v>
      </c>
    </row>
    <row r="63" spans="1:11" ht="15" customHeight="1" x14ac:dyDescent="0.2">
      <c r="A63" s="35">
        <f>IF('Resep Menu'!A43="","",'Resep Menu'!A43)</f>
        <v>7</v>
      </c>
      <c r="B63" s="36" t="str">
        <f>'Resep Menu'!B43</f>
        <v>Butterscotch Latte</v>
      </c>
      <c r="C63" s="39" t="str">
        <f>'Resep Menu'!C43</f>
        <v>B02</v>
      </c>
      <c r="D63" s="36" t="str">
        <f>'Resep Menu'!D43</f>
        <v>Kopi Blend Bubuk/Biji</v>
      </c>
      <c r="E63" s="40">
        <f>'Resep Menu'!E43</f>
        <v>18</v>
      </c>
      <c r="F63" s="39" t="str">
        <f>'Resep Menu'!F43</f>
        <v>gram</v>
      </c>
      <c r="G63" s="35">
        <f t="shared" si="2"/>
        <v>50</v>
      </c>
      <c r="H63" s="40">
        <f t="shared" si="3"/>
        <v>900</v>
      </c>
      <c r="I63" s="39" t="str">
        <f>INDEX('Master Bahan Baku'!$E$5:$E$18,MATCH(C63,'Master Bahan Baku'!$A$5:$A$18,0))</f>
        <v>kg</v>
      </c>
      <c r="J63" s="40">
        <f>IFERROR(H63/INDEX('Master Bahan Baku'!$F$5:$F$18,MATCH(C63,'Master Bahan Baku'!$A$5:$A$18,0)),0)</f>
        <v>0.9</v>
      </c>
      <c r="K63" s="17">
        <f>H63*INDEX('Master Bahan Baku'!$H$5:$H$18,MATCH(C63,'Master Bahan Baku'!$A$5:$A$18,0))</f>
        <v>180000</v>
      </c>
    </row>
    <row r="64" spans="1:11" ht="15" customHeight="1" x14ac:dyDescent="0.2">
      <c r="A64" s="35" t="str">
        <f>IF('Resep Menu'!A44="","",'Resep Menu'!A44)</f>
        <v/>
      </c>
      <c r="B64" s="36" t="str">
        <f>'Resep Menu'!B44</f>
        <v>Butterscotch Latte</v>
      </c>
      <c r="C64" s="39" t="str">
        <f>'Resep Menu'!C44</f>
        <v>B03</v>
      </c>
      <c r="D64" s="36" t="str">
        <f>'Resep Menu'!D44</f>
        <v>Susu Full Cream UHT</v>
      </c>
      <c r="E64" s="40">
        <f>'Resep Menu'!E44</f>
        <v>100</v>
      </c>
      <c r="F64" s="39" t="str">
        <f>'Resep Menu'!F44</f>
        <v>ml</v>
      </c>
      <c r="G64" s="35">
        <f t="shared" si="2"/>
        <v>50</v>
      </c>
      <c r="H64" s="40">
        <f t="shared" si="3"/>
        <v>5000</v>
      </c>
      <c r="I64" s="39" t="str">
        <f>INDEX('Master Bahan Baku'!$E$5:$E$18,MATCH(C64,'Master Bahan Baku'!$A$5:$A$18,0))</f>
        <v>liter</v>
      </c>
      <c r="J64" s="40">
        <f>IFERROR(H64/INDEX('Master Bahan Baku'!$F$5:$F$18,MATCH(C64,'Master Bahan Baku'!$A$5:$A$18,0)),0)</f>
        <v>5</v>
      </c>
      <c r="K64" s="17">
        <f>H64*INDEX('Master Bahan Baku'!$H$5:$H$18,MATCH(C64,'Master Bahan Baku'!$A$5:$A$18,0))</f>
        <v>110000</v>
      </c>
    </row>
    <row r="65" spans="1:11" ht="15" customHeight="1" x14ac:dyDescent="0.2">
      <c r="A65" s="35" t="str">
        <f>IF('Resep Menu'!A45="","",'Resep Menu'!A45)</f>
        <v/>
      </c>
      <c r="B65" s="36" t="str">
        <f>'Resep Menu'!B45</f>
        <v>Butterscotch Latte</v>
      </c>
      <c r="C65" s="39" t="str">
        <f>'Resep Menu'!C45</f>
        <v>B20</v>
      </c>
      <c r="D65" s="36" t="str">
        <f>'Resep Menu'!D45</f>
        <v>Krimer Bubuk</v>
      </c>
      <c r="E65" s="40">
        <f>'Resep Menu'!E45</f>
        <v>25</v>
      </c>
      <c r="F65" s="39" t="str">
        <f>'Resep Menu'!F45</f>
        <v>gram</v>
      </c>
      <c r="G65" s="35">
        <f t="shared" si="2"/>
        <v>50</v>
      </c>
      <c r="H65" s="40">
        <f t="shared" si="3"/>
        <v>1250</v>
      </c>
      <c r="I65" s="39" t="str">
        <f>INDEX('Master Bahan Baku'!$E$5:$E$18,MATCH(C65,'Master Bahan Baku'!$A$5:$A$18,0))</f>
        <v>kg</v>
      </c>
      <c r="J65" s="40">
        <f>IFERROR(H65/INDEX('Master Bahan Baku'!$F$5:$F$18,MATCH(C65,'Master Bahan Baku'!$A$5:$A$18,0)),0)</f>
        <v>1.25</v>
      </c>
      <c r="K65" s="17">
        <f>H65*INDEX('Master Bahan Baku'!$H$5:$H$18,MATCH(C65,'Master Bahan Baku'!$A$5:$A$18,0))</f>
        <v>68750</v>
      </c>
    </row>
    <row r="66" spans="1:11" ht="15" customHeight="1" x14ac:dyDescent="0.2">
      <c r="A66" s="35" t="str">
        <f>IF('Resep Menu'!A46="","",'Resep Menu'!A46)</f>
        <v/>
      </c>
      <c r="B66" s="36" t="str">
        <f>'Resep Menu'!B46</f>
        <v>Butterscotch Latte</v>
      </c>
      <c r="C66" s="39" t="str">
        <f>'Resep Menu'!C46</f>
        <v>B18</v>
      </c>
      <c r="D66" s="36" t="str">
        <f>'Resep Menu'!D46</f>
        <v>Sirup Butterscotch</v>
      </c>
      <c r="E66" s="40">
        <f>'Resep Menu'!E46</f>
        <v>25</v>
      </c>
      <c r="F66" s="39" t="str">
        <f>'Resep Menu'!F46</f>
        <v>ml</v>
      </c>
      <c r="G66" s="35">
        <f t="shared" si="2"/>
        <v>50</v>
      </c>
      <c r="H66" s="40">
        <f t="shared" si="3"/>
        <v>1250</v>
      </c>
      <c r="I66" s="39" t="str">
        <f>INDEX('Master Bahan Baku'!$E$5:$E$18,MATCH(C66,'Master Bahan Baku'!$A$5:$A$18,0))</f>
        <v>liter</v>
      </c>
      <c r="J66" s="40">
        <f>IFERROR(H66/INDEX('Master Bahan Baku'!$F$5:$F$18,MATCH(C66,'Master Bahan Baku'!$A$5:$A$18,0)),0)</f>
        <v>1.25</v>
      </c>
      <c r="K66" s="17">
        <f>H66*INDEX('Master Bahan Baku'!$H$5:$H$18,MATCH(C66,'Master Bahan Baku'!$A$5:$A$18,0))</f>
        <v>60000</v>
      </c>
    </row>
    <row r="67" spans="1:11" ht="15" customHeight="1" x14ac:dyDescent="0.2">
      <c r="A67" s="35" t="str">
        <f>IF('Resep Menu'!A47="","",'Resep Menu'!A47)</f>
        <v/>
      </c>
      <c r="B67" s="36" t="str">
        <f>'Resep Menu'!B47</f>
        <v>Butterscotch Latte</v>
      </c>
      <c r="C67" s="39" t="str">
        <f>'Resep Menu'!C47</f>
        <v>B13</v>
      </c>
      <c r="D67" s="36" t="str">
        <f>'Resep Menu'!D47</f>
        <v>Es Batu</v>
      </c>
      <c r="E67" s="40">
        <f>'Resep Menu'!E47</f>
        <v>100</v>
      </c>
      <c r="F67" s="39" t="str">
        <f>'Resep Menu'!F47</f>
        <v>gram</v>
      </c>
      <c r="G67" s="35">
        <f t="shared" si="2"/>
        <v>50</v>
      </c>
      <c r="H67" s="40">
        <f t="shared" si="3"/>
        <v>5000</v>
      </c>
      <c r="I67" s="39" t="str">
        <f>INDEX('Master Bahan Baku'!$E$5:$E$18,MATCH(C67,'Master Bahan Baku'!$A$5:$A$18,0))</f>
        <v>kg</v>
      </c>
      <c r="J67" s="40">
        <f>IFERROR(H67/INDEX('Master Bahan Baku'!$F$5:$F$18,MATCH(C67,'Master Bahan Baku'!$A$5:$A$18,0)),0)</f>
        <v>5</v>
      </c>
      <c r="K67" s="17">
        <f>H67*INDEX('Master Bahan Baku'!$H$5:$H$18,MATCH(C67,'Master Bahan Baku'!$A$5:$A$18,0))</f>
        <v>15000</v>
      </c>
    </row>
    <row r="68" spans="1:11" ht="15" customHeight="1" x14ac:dyDescent="0.2">
      <c r="A68" s="35" t="str">
        <f>IF('Resep Menu'!A48="","",'Resep Menu'!A48)</f>
        <v/>
      </c>
      <c r="B68" s="36" t="str">
        <f>'Resep Menu'!B48</f>
        <v>Butterscotch Latte</v>
      </c>
      <c r="C68" s="39" t="str">
        <f>'Resep Menu'!C48</f>
        <v>B14</v>
      </c>
      <c r="D68" s="36" t="str">
        <f>'Resep Menu'!D48</f>
        <v>Cup Plastik 12oz + Tutup</v>
      </c>
      <c r="E68" s="40">
        <f>'Resep Menu'!E48</f>
        <v>1</v>
      </c>
      <c r="F68" s="39" t="str">
        <f>'Resep Menu'!F48</f>
        <v>pcs</v>
      </c>
      <c r="G68" s="35">
        <f t="shared" si="2"/>
        <v>50</v>
      </c>
      <c r="H68" s="40">
        <f t="shared" si="3"/>
        <v>50</v>
      </c>
      <c r="I68" s="39" t="str">
        <f>INDEX('Master Bahan Baku'!$E$5:$E$18,MATCH(C68,'Master Bahan Baku'!$A$5:$A$18,0))</f>
        <v>pcs</v>
      </c>
      <c r="J68" s="40">
        <f>IFERROR(H68/INDEX('Master Bahan Baku'!$F$5:$F$18,MATCH(C68,'Master Bahan Baku'!$A$5:$A$18,0)),0)</f>
        <v>50</v>
      </c>
      <c r="K68" s="17">
        <f>H68*INDEX('Master Bahan Baku'!$H$5:$H$18,MATCH(C68,'Master Bahan Baku'!$A$5:$A$18,0))</f>
        <v>42500</v>
      </c>
    </row>
    <row r="69" spans="1:11" ht="15" customHeight="1" x14ac:dyDescent="0.2">
      <c r="A69" s="35" t="str">
        <f>IF('Resep Menu'!A49="","",'Resep Menu'!A49)</f>
        <v/>
      </c>
      <c r="B69" s="36" t="str">
        <f>'Resep Menu'!B49</f>
        <v>Butterscotch Latte</v>
      </c>
      <c r="C69" s="39" t="str">
        <f>'Resep Menu'!C49</f>
        <v>B16</v>
      </c>
      <c r="D69" s="36" t="str">
        <f>'Resep Menu'!D49</f>
        <v>Sedotan</v>
      </c>
      <c r="E69" s="40">
        <f>'Resep Menu'!E49</f>
        <v>1</v>
      </c>
      <c r="F69" s="39" t="str">
        <f>'Resep Menu'!F49</f>
        <v>pcs</v>
      </c>
      <c r="G69" s="35">
        <f t="shared" si="2"/>
        <v>50</v>
      </c>
      <c r="H69" s="40">
        <f t="shared" si="3"/>
        <v>50</v>
      </c>
      <c r="I69" s="39" t="str">
        <f>INDEX('Master Bahan Baku'!$E$5:$E$18,MATCH(C69,'Master Bahan Baku'!$A$5:$A$18,0))</f>
        <v>pcs</v>
      </c>
      <c r="J69" s="40">
        <f>IFERROR(H69/INDEX('Master Bahan Baku'!$F$5:$F$18,MATCH(C69,'Master Bahan Baku'!$A$5:$A$18,0)),0)</f>
        <v>50</v>
      </c>
      <c r="K69" s="17">
        <f>H69*INDEX('Master Bahan Baku'!$H$5:$H$18,MATCH(C69,'Master Bahan Baku'!$A$5:$A$18,0))</f>
        <v>5000</v>
      </c>
    </row>
    <row r="70" spans="1:11" ht="15" customHeight="1" x14ac:dyDescent="0.2">
      <c r="A70" s="35">
        <f>IF('Resep Menu'!A50="","",'Resep Menu'!A50)</f>
        <v>8</v>
      </c>
      <c r="B70" s="36" t="str">
        <f>'Resep Menu'!B50</f>
        <v>Kopsu Singgah</v>
      </c>
      <c r="C70" s="39" t="str">
        <f>'Resep Menu'!C50</f>
        <v>B02</v>
      </c>
      <c r="D70" s="36" t="str">
        <f>'Resep Menu'!D50</f>
        <v>Kopi Blend Bubuk/Biji</v>
      </c>
      <c r="E70" s="40">
        <f>'Resep Menu'!E50</f>
        <v>18</v>
      </c>
      <c r="F70" s="39" t="str">
        <f>'Resep Menu'!F50</f>
        <v>gram</v>
      </c>
      <c r="G70" s="35">
        <f t="shared" si="2"/>
        <v>50</v>
      </c>
      <c r="H70" s="40">
        <f t="shared" si="3"/>
        <v>900</v>
      </c>
      <c r="I70" s="39" t="str">
        <f>INDEX('Master Bahan Baku'!$E$5:$E$18,MATCH(C70,'Master Bahan Baku'!$A$5:$A$18,0))</f>
        <v>kg</v>
      </c>
      <c r="J70" s="40">
        <f>IFERROR(H70/INDEX('Master Bahan Baku'!$F$5:$F$18,MATCH(C70,'Master Bahan Baku'!$A$5:$A$18,0)),0)</f>
        <v>0.9</v>
      </c>
      <c r="K70" s="17">
        <f>H70*INDEX('Master Bahan Baku'!$H$5:$H$18,MATCH(C70,'Master Bahan Baku'!$A$5:$A$18,0))</f>
        <v>180000</v>
      </c>
    </row>
    <row r="71" spans="1:11" ht="15" customHeight="1" x14ac:dyDescent="0.2">
      <c r="A71" s="35" t="str">
        <f>IF('Resep Menu'!A51="","",'Resep Menu'!A51)</f>
        <v/>
      </c>
      <c r="B71" s="36" t="str">
        <f>'Resep Menu'!B51</f>
        <v>Kopsu Singgah</v>
      </c>
      <c r="C71" s="39" t="str">
        <f>'Resep Menu'!C51</f>
        <v>B03</v>
      </c>
      <c r="D71" s="36" t="str">
        <f>'Resep Menu'!D51</f>
        <v>Susu Full Cream UHT</v>
      </c>
      <c r="E71" s="40">
        <f>'Resep Menu'!E51</f>
        <v>100</v>
      </c>
      <c r="F71" s="39" t="str">
        <f>'Resep Menu'!F51</f>
        <v>ml</v>
      </c>
      <c r="G71" s="35">
        <f t="shared" si="2"/>
        <v>50</v>
      </c>
      <c r="H71" s="40">
        <f t="shared" si="3"/>
        <v>5000</v>
      </c>
      <c r="I71" s="39" t="str">
        <f>INDEX('Master Bahan Baku'!$E$5:$E$18,MATCH(C71,'Master Bahan Baku'!$A$5:$A$18,0))</f>
        <v>liter</v>
      </c>
      <c r="J71" s="40">
        <f>IFERROR(H71/INDEX('Master Bahan Baku'!$F$5:$F$18,MATCH(C71,'Master Bahan Baku'!$A$5:$A$18,0)),0)</f>
        <v>5</v>
      </c>
      <c r="K71" s="17">
        <f>H71*INDEX('Master Bahan Baku'!$H$5:$H$18,MATCH(C71,'Master Bahan Baku'!$A$5:$A$18,0))</f>
        <v>110000</v>
      </c>
    </row>
    <row r="72" spans="1:11" ht="15" customHeight="1" x14ac:dyDescent="0.2">
      <c r="A72" s="35" t="str">
        <f>IF('Resep Menu'!A52="","",'Resep Menu'!A52)</f>
        <v/>
      </c>
      <c r="B72" s="36" t="str">
        <f>'Resep Menu'!B52</f>
        <v>Kopsu Singgah</v>
      </c>
      <c r="C72" s="39" t="str">
        <f>'Resep Menu'!C52</f>
        <v>B20</v>
      </c>
      <c r="D72" s="36" t="str">
        <f>'Resep Menu'!D52</f>
        <v>Krimer Bubuk</v>
      </c>
      <c r="E72" s="40">
        <f>'Resep Menu'!E52</f>
        <v>25</v>
      </c>
      <c r="F72" s="39" t="str">
        <f>'Resep Menu'!F52</f>
        <v>gram</v>
      </c>
      <c r="G72" s="35">
        <f t="shared" si="2"/>
        <v>50</v>
      </c>
      <c r="H72" s="40">
        <f t="shared" si="3"/>
        <v>1250</v>
      </c>
      <c r="I72" s="39" t="str">
        <f>INDEX('Master Bahan Baku'!$E$5:$E$18,MATCH(C72,'Master Bahan Baku'!$A$5:$A$18,0))</f>
        <v>kg</v>
      </c>
      <c r="J72" s="40">
        <f>IFERROR(H72/INDEX('Master Bahan Baku'!$F$5:$F$18,MATCH(C72,'Master Bahan Baku'!$A$5:$A$18,0)),0)</f>
        <v>1.25</v>
      </c>
      <c r="K72" s="17">
        <f>H72*INDEX('Master Bahan Baku'!$H$5:$H$18,MATCH(C72,'Master Bahan Baku'!$A$5:$A$18,0))</f>
        <v>68750</v>
      </c>
    </row>
    <row r="73" spans="1:11" ht="15" customHeight="1" x14ac:dyDescent="0.2">
      <c r="A73" s="35" t="str">
        <f>IF('Resep Menu'!A53="","",'Resep Menu'!A53)</f>
        <v/>
      </c>
      <c r="B73" s="36" t="str">
        <f>'Resep Menu'!B53</f>
        <v>Kopsu Singgah</v>
      </c>
      <c r="C73" s="39" t="str">
        <f>'Resep Menu'!C53</f>
        <v>B23</v>
      </c>
      <c r="D73" s="36" t="str">
        <f>'Resep Menu'!D53</f>
        <v>Susu Kental Manis (SKM)</v>
      </c>
      <c r="E73" s="40">
        <f>'Resep Menu'!E53</f>
        <v>20</v>
      </c>
      <c r="F73" s="39" t="str">
        <f>'Resep Menu'!F53</f>
        <v>ml</v>
      </c>
      <c r="G73" s="35">
        <f t="shared" si="2"/>
        <v>50</v>
      </c>
      <c r="H73" s="40">
        <f t="shared" si="3"/>
        <v>1000</v>
      </c>
      <c r="I73" s="39" t="str">
        <f>INDEX('Master Bahan Baku'!$E$5:$E$18,MATCH(C73,'Master Bahan Baku'!$A$5:$A$18,0))</f>
        <v>liter</v>
      </c>
      <c r="J73" s="40">
        <f>IFERROR(H73/INDEX('Master Bahan Baku'!$F$5:$F$18,MATCH(C73,'Master Bahan Baku'!$A$5:$A$18,0)),0)</f>
        <v>1</v>
      </c>
      <c r="K73" s="17">
        <f>H73*INDEX('Master Bahan Baku'!$H$5:$H$18,MATCH(C73,'Master Bahan Baku'!$A$5:$A$18,0))</f>
        <v>20000</v>
      </c>
    </row>
    <row r="74" spans="1:11" ht="15" customHeight="1" x14ac:dyDescent="0.2">
      <c r="A74" s="35" t="str">
        <f>IF('Resep Menu'!A54="","",'Resep Menu'!A54)</f>
        <v/>
      </c>
      <c r="B74" s="36" t="str">
        <f>'Resep Menu'!B54</f>
        <v>Kopsu Singgah</v>
      </c>
      <c r="C74" s="39" t="str">
        <f>'Resep Menu'!C54</f>
        <v>B13</v>
      </c>
      <c r="D74" s="36" t="str">
        <f>'Resep Menu'!D54</f>
        <v>Es Batu</v>
      </c>
      <c r="E74" s="40">
        <f>'Resep Menu'!E54</f>
        <v>100</v>
      </c>
      <c r="F74" s="39" t="str">
        <f>'Resep Menu'!F54</f>
        <v>gram</v>
      </c>
      <c r="G74" s="35">
        <f t="shared" si="2"/>
        <v>50</v>
      </c>
      <c r="H74" s="40">
        <f t="shared" si="3"/>
        <v>5000</v>
      </c>
      <c r="I74" s="39" t="str">
        <f>INDEX('Master Bahan Baku'!$E$5:$E$18,MATCH(C74,'Master Bahan Baku'!$A$5:$A$18,0))</f>
        <v>kg</v>
      </c>
      <c r="J74" s="40">
        <f>IFERROR(H74/INDEX('Master Bahan Baku'!$F$5:$F$18,MATCH(C74,'Master Bahan Baku'!$A$5:$A$18,0)),0)</f>
        <v>5</v>
      </c>
      <c r="K74" s="17">
        <f>H74*INDEX('Master Bahan Baku'!$H$5:$H$18,MATCH(C74,'Master Bahan Baku'!$A$5:$A$18,0))</f>
        <v>15000</v>
      </c>
    </row>
    <row r="75" spans="1:11" ht="15" customHeight="1" x14ac:dyDescent="0.2">
      <c r="A75" s="35" t="str">
        <f>IF('Resep Menu'!A55="","",'Resep Menu'!A55)</f>
        <v/>
      </c>
      <c r="B75" s="36" t="str">
        <f>'Resep Menu'!B55</f>
        <v>Kopsu Singgah</v>
      </c>
      <c r="C75" s="39" t="str">
        <f>'Resep Menu'!C55</f>
        <v>B14</v>
      </c>
      <c r="D75" s="36" t="str">
        <f>'Resep Menu'!D55</f>
        <v>Cup Plastik 12oz + Tutup</v>
      </c>
      <c r="E75" s="40">
        <f>'Resep Menu'!E55</f>
        <v>1</v>
      </c>
      <c r="F75" s="39" t="str">
        <f>'Resep Menu'!F55</f>
        <v>pcs</v>
      </c>
      <c r="G75" s="35">
        <f t="shared" si="2"/>
        <v>50</v>
      </c>
      <c r="H75" s="40">
        <f t="shared" si="3"/>
        <v>50</v>
      </c>
      <c r="I75" s="39" t="str">
        <f>INDEX('Master Bahan Baku'!$E$5:$E$18,MATCH(C75,'Master Bahan Baku'!$A$5:$A$18,0))</f>
        <v>pcs</v>
      </c>
      <c r="J75" s="40">
        <f>IFERROR(H75/INDEX('Master Bahan Baku'!$F$5:$F$18,MATCH(C75,'Master Bahan Baku'!$A$5:$A$18,0)),0)</f>
        <v>50</v>
      </c>
      <c r="K75" s="17">
        <f>H75*INDEX('Master Bahan Baku'!$H$5:$H$18,MATCH(C75,'Master Bahan Baku'!$A$5:$A$18,0))</f>
        <v>42500</v>
      </c>
    </row>
    <row r="76" spans="1:11" ht="15" customHeight="1" x14ac:dyDescent="0.2">
      <c r="A76" s="35" t="str">
        <f>IF('Resep Menu'!A56="","",'Resep Menu'!A56)</f>
        <v/>
      </c>
      <c r="B76" s="36" t="str">
        <f>'Resep Menu'!B56</f>
        <v>Kopsu Singgah</v>
      </c>
      <c r="C76" s="39" t="str">
        <f>'Resep Menu'!C56</f>
        <v>B16</v>
      </c>
      <c r="D76" s="36" t="str">
        <f>'Resep Menu'!D56</f>
        <v>Sedotan</v>
      </c>
      <c r="E76" s="40">
        <f>'Resep Menu'!E56</f>
        <v>1</v>
      </c>
      <c r="F76" s="39" t="str">
        <f>'Resep Menu'!F56</f>
        <v>pcs</v>
      </c>
      <c r="G76" s="35">
        <f t="shared" si="2"/>
        <v>50</v>
      </c>
      <c r="H76" s="40">
        <f t="shared" si="3"/>
        <v>50</v>
      </c>
      <c r="I76" s="39" t="str">
        <f>INDEX('Master Bahan Baku'!$E$5:$E$18,MATCH(C76,'Master Bahan Baku'!$A$5:$A$18,0))</f>
        <v>pcs</v>
      </c>
      <c r="J76" s="40">
        <f>IFERROR(H76/INDEX('Master Bahan Baku'!$F$5:$F$18,MATCH(C76,'Master Bahan Baku'!$A$5:$A$18,0)),0)</f>
        <v>50</v>
      </c>
      <c r="K76" s="17">
        <f>H76*INDEX('Master Bahan Baku'!$H$5:$H$18,MATCH(C76,'Master Bahan Baku'!$A$5:$A$18,0))</f>
        <v>5000</v>
      </c>
    </row>
    <row r="77" spans="1:11" ht="23.25" customHeight="1" x14ac:dyDescent="0.2">
      <c r="A77" s="35">
        <f>IF('Resep Menu'!A57="","",'Resep Menu'!A57)</f>
        <v>9</v>
      </c>
      <c r="B77" s="36" t="str">
        <f>'Resep Menu'!B57</f>
        <v>Oatside Signature</v>
      </c>
      <c r="C77" s="39" t="str">
        <f>'Resep Menu'!C57</f>
        <v>B02</v>
      </c>
      <c r="D77" s="36" t="str">
        <f>'Resep Menu'!D57</f>
        <v>Kopi Blend Bubuk/Biji</v>
      </c>
      <c r="E77" s="40">
        <f>'Resep Menu'!E57</f>
        <v>15</v>
      </c>
      <c r="F77" s="39" t="str">
        <f>'Resep Menu'!F57</f>
        <v>gram</v>
      </c>
      <c r="G77" s="35">
        <f t="shared" si="2"/>
        <v>50</v>
      </c>
      <c r="H77" s="40">
        <f t="shared" si="3"/>
        <v>750</v>
      </c>
      <c r="I77" s="39" t="str">
        <f>INDEX('Master Bahan Baku'!$E$5:$E$18,MATCH(C77,'Master Bahan Baku'!$A$5:$A$18,0))</f>
        <v>kg</v>
      </c>
      <c r="J77" s="40">
        <f>IFERROR(H77/INDEX('Master Bahan Baku'!$F$5:$F$18,MATCH(C77,'Master Bahan Baku'!$A$5:$A$18,0)),0)</f>
        <v>0.75</v>
      </c>
      <c r="K77" s="17">
        <f>H77*INDEX('Master Bahan Baku'!$H$5:$H$18,MATCH(C77,'Master Bahan Baku'!$A$5:$A$18,0))</f>
        <v>150000</v>
      </c>
    </row>
    <row r="78" spans="1:11" ht="23.25" customHeight="1" x14ac:dyDescent="0.2">
      <c r="A78" s="35" t="str">
        <f>IF('Resep Menu'!A58="","",'Resep Menu'!A58)</f>
        <v/>
      </c>
      <c r="B78" s="36" t="str">
        <f>'Resep Menu'!B58</f>
        <v>Oatside Signature</v>
      </c>
      <c r="C78" s="39" t="str">
        <f>'Resep Menu'!C58</f>
        <v>B22</v>
      </c>
      <c r="D78" s="36" t="str">
        <f>'Resep Menu'!D58</f>
        <v>Susu Oat (Oatside Barista Blend)</v>
      </c>
      <c r="E78" s="40">
        <f>'Resep Menu'!E58</f>
        <v>100</v>
      </c>
      <c r="F78" s="39" t="str">
        <f>'Resep Menu'!F58</f>
        <v>ml</v>
      </c>
      <c r="G78" s="35">
        <f t="shared" si="2"/>
        <v>50</v>
      </c>
      <c r="H78" s="40">
        <f t="shared" si="3"/>
        <v>5000</v>
      </c>
      <c r="I78" s="39" t="str">
        <f>INDEX('Master Bahan Baku'!$E$5:$E$18,MATCH(C78,'Master Bahan Baku'!$A$5:$A$18,0))</f>
        <v>liter</v>
      </c>
      <c r="J78" s="40">
        <f>IFERROR(H78/INDEX('Master Bahan Baku'!$F$5:$F$18,MATCH(C78,'Master Bahan Baku'!$A$5:$A$18,0)),0)</f>
        <v>5</v>
      </c>
      <c r="K78" s="17">
        <f>H78*INDEX('Master Bahan Baku'!$H$5:$H$18,MATCH(C78,'Master Bahan Baku'!$A$5:$A$18,0))</f>
        <v>190000</v>
      </c>
    </row>
    <row r="79" spans="1:11" ht="23.25" customHeight="1" x14ac:dyDescent="0.2">
      <c r="A79" s="35" t="str">
        <f>IF('Resep Menu'!A59="","",'Resep Menu'!A59)</f>
        <v/>
      </c>
      <c r="B79" s="36" t="str">
        <f>'Resep Menu'!B59</f>
        <v>Oatside Signature</v>
      </c>
      <c r="C79" s="39" t="str">
        <f>'Resep Menu'!C59</f>
        <v>B23</v>
      </c>
      <c r="D79" s="36" t="str">
        <f>'Resep Menu'!D59</f>
        <v>Susu Kental Manis (SKM)</v>
      </c>
      <c r="E79" s="40">
        <f>'Resep Menu'!E59</f>
        <v>20</v>
      </c>
      <c r="F79" s="39" t="str">
        <f>'Resep Menu'!F59</f>
        <v>ml</v>
      </c>
      <c r="G79" s="35">
        <f t="shared" si="2"/>
        <v>50</v>
      </c>
      <c r="H79" s="40">
        <f t="shared" si="3"/>
        <v>1000</v>
      </c>
      <c r="I79" s="39" t="str">
        <f>INDEX('Master Bahan Baku'!$E$5:$E$18,MATCH(C79,'Master Bahan Baku'!$A$5:$A$18,0))</f>
        <v>liter</v>
      </c>
      <c r="J79" s="40">
        <f>IFERROR(H79/INDEX('Master Bahan Baku'!$F$5:$F$18,MATCH(C79,'Master Bahan Baku'!$A$5:$A$18,0)),0)</f>
        <v>1</v>
      </c>
      <c r="K79" s="17">
        <f>H79*INDEX('Master Bahan Baku'!$H$5:$H$18,MATCH(C79,'Master Bahan Baku'!$A$5:$A$18,0))</f>
        <v>20000</v>
      </c>
    </row>
    <row r="80" spans="1:11" ht="23.25" customHeight="1" x14ac:dyDescent="0.2">
      <c r="A80" s="35" t="str">
        <f>IF('Resep Menu'!A60="","",'Resep Menu'!A60)</f>
        <v/>
      </c>
      <c r="B80" s="36" t="str">
        <f>'Resep Menu'!B60</f>
        <v>Oatside Signature</v>
      </c>
      <c r="C80" s="39" t="str">
        <f>'Resep Menu'!C60</f>
        <v>B13</v>
      </c>
      <c r="D80" s="36" t="str">
        <f>'Resep Menu'!D60</f>
        <v>Es Batu</v>
      </c>
      <c r="E80" s="40">
        <f>'Resep Menu'!E60</f>
        <v>100</v>
      </c>
      <c r="F80" s="39" t="str">
        <f>'Resep Menu'!F60</f>
        <v>gram</v>
      </c>
      <c r="G80" s="35">
        <f t="shared" si="2"/>
        <v>50</v>
      </c>
      <c r="H80" s="40">
        <f t="shared" si="3"/>
        <v>5000</v>
      </c>
      <c r="I80" s="39" t="str">
        <f>INDEX('Master Bahan Baku'!$E$5:$E$18,MATCH(C80,'Master Bahan Baku'!$A$5:$A$18,0))</f>
        <v>kg</v>
      </c>
      <c r="J80" s="40">
        <f>IFERROR(H80/INDEX('Master Bahan Baku'!$F$5:$F$18,MATCH(C80,'Master Bahan Baku'!$A$5:$A$18,0)),0)</f>
        <v>5</v>
      </c>
      <c r="K80" s="17">
        <f>H80*INDEX('Master Bahan Baku'!$H$5:$H$18,MATCH(C80,'Master Bahan Baku'!$A$5:$A$18,0))</f>
        <v>15000</v>
      </c>
    </row>
    <row r="81" spans="1:11" ht="23.25" customHeight="1" x14ac:dyDescent="0.2">
      <c r="A81" s="35" t="str">
        <f>IF('Resep Menu'!A61="","",'Resep Menu'!A61)</f>
        <v/>
      </c>
      <c r="B81" s="36" t="str">
        <f>'Resep Menu'!B61</f>
        <v>Oatside Signature</v>
      </c>
      <c r="C81" s="39" t="str">
        <f>'Resep Menu'!C61</f>
        <v>B14</v>
      </c>
      <c r="D81" s="36" t="str">
        <f>'Resep Menu'!D61</f>
        <v>Cup Plastik 12oz + Tutup</v>
      </c>
      <c r="E81" s="40">
        <f>'Resep Menu'!E61</f>
        <v>1</v>
      </c>
      <c r="F81" s="39" t="str">
        <f>'Resep Menu'!F61</f>
        <v>pcs</v>
      </c>
      <c r="G81" s="35">
        <f t="shared" si="2"/>
        <v>50</v>
      </c>
      <c r="H81" s="40">
        <f t="shared" si="3"/>
        <v>50</v>
      </c>
      <c r="I81" s="39" t="str">
        <f>INDEX('Master Bahan Baku'!$E$5:$E$18,MATCH(C81,'Master Bahan Baku'!$A$5:$A$18,0))</f>
        <v>pcs</v>
      </c>
      <c r="J81" s="40">
        <f>IFERROR(H81/INDEX('Master Bahan Baku'!$F$5:$F$18,MATCH(C81,'Master Bahan Baku'!$A$5:$A$18,0)),0)</f>
        <v>50</v>
      </c>
      <c r="K81" s="17">
        <f>H81*INDEX('Master Bahan Baku'!$H$5:$H$18,MATCH(C81,'Master Bahan Baku'!$A$5:$A$18,0))</f>
        <v>42500</v>
      </c>
    </row>
    <row r="82" spans="1:11" ht="23.25" customHeight="1" x14ac:dyDescent="0.2">
      <c r="A82" s="35" t="str">
        <f>IF('Resep Menu'!A62="","",'Resep Menu'!A62)</f>
        <v/>
      </c>
      <c r="B82" s="36" t="str">
        <f>'Resep Menu'!B62</f>
        <v>Oatside Signature</v>
      </c>
      <c r="C82" s="39" t="str">
        <f>'Resep Menu'!C62</f>
        <v>B16</v>
      </c>
      <c r="D82" s="36" t="str">
        <f>'Resep Menu'!D62</f>
        <v>Sedotan</v>
      </c>
      <c r="E82" s="40">
        <f>'Resep Menu'!E62</f>
        <v>1</v>
      </c>
      <c r="F82" s="39" t="str">
        <f>'Resep Menu'!F62</f>
        <v>pcs</v>
      </c>
      <c r="G82" s="35">
        <f t="shared" si="2"/>
        <v>50</v>
      </c>
      <c r="H82" s="40">
        <f t="shared" si="3"/>
        <v>50</v>
      </c>
      <c r="I82" s="39" t="str">
        <f>INDEX('Master Bahan Baku'!$E$5:$E$18,MATCH(C82,'Master Bahan Baku'!$A$5:$A$18,0))</f>
        <v>pcs</v>
      </c>
      <c r="J82" s="40">
        <f>IFERROR(H82/INDEX('Master Bahan Baku'!$F$5:$F$18,MATCH(C82,'Master Bahan Baku'!$A$5:$A$18,0)),0)</f>
        <v>50</v>
      </c>
      <c r="K82" s="17">
        <f>H82*INDEX('Master Bahan Baku'!$H$5:$H$18,MATCH(C82,'Master Bahan Baku'!$A$5:$A$18,0))</f>
        <v>5000</v>
      </c>
    </row>
    <row r="83" spans="1:11" ht="23.25" customHeight="1" x14ac:dyDescent="0.2">
      <c r="A83" s="35">
        <f>IF('Resep Menu'!A63="","",'Resep Menu'!A63)</f>
        <v>10</v>
      </c>
      <c r="B83" s="36" t="str">
        <f>'Resep Menu'!B63</f>
        <v>Oatside Signature Gula Aren</v>
      </c>
      <c r="C83" s="39" t="str">
        <f>'Resep Menu'!C63</f>
        <v>B02</v>
      </c>
      <c r="D83" s="36" t="str">
        <f>'Resep Menu'!D63</f>
        <v>Kopi Blend Bubuk/Biji</v>
      </c>
      <c r="E83" s="40">
        <f>'Resep Menu'!E63</f>
        <v>15</v>
      </c>
      <c r="F83" s="39" t="str">
        <f>'Resep Menu'!F63</f>
        <v>gram</v>
      </c>
      <c r="G83" s="35">
        <f t="shared" si="2"/>
        <v>50</v>
      </c>
      <c r="H83" s="40">
        <f t="shared" si="3"/>
        <v>750</v>
      </c>
      <c r="I83" s="39" t="str">
        <f>INDEX('Master Bahan Baku'!$E$5:$E$18,MATCH(C83,'Master Bahan Baku'!$A$5:$A$18,0))</f>
        <v>kg</v>
      </c>
      <c r="J83" s="40">
        <f>IFERROR(H83/INDEX('Master Bahan Baku'!$F$5:$F$18,MATCH(C83,'Master Bahan Baku'!$A$5:$A$18,0)),0)</f>
        <v>0.75</v>
      </c>
      <c r="K83" s="17">
        <f>H83*INDEX('Master Bahan Baku'!$H$5:$H$18,MATCH(C83,'Master Bahan Baku'!$A$5:$A$18,0))</f>
        <v>150000</v>
      </c>
    </row>
    <row r="84" spans="1:11" ht="23.25" customHeight="1" x14ac:dyDescent="0.2">
      <c r="A84" s="35" t="str">
        <f>IF('Resep Menu'!A64="","",'Resep Menu'!A64)</f>
        <v/>
      </c>
      <c r="B84" s="36" t="str">
        <f>'Resep Menu'!B64</f>
        <v>Oatside Signature Gula Aren</v>
      </c>
      <c r="C84" s="39" t="str">
        <f>'Resep Menu'!C64</f>
        <v>B22</v>
      </c>
      <c r="D84" s="36" t="str">
        <f>'Resep Menu'!D64</f>
        <v>Susu Oat (Oatside Barista Blend)</v>
      </c>
      <c r="E84" s="40">
        <f>'Resep Menu'!E64</f>
        <v>100</v>
      </c>
      <c r="F84" s="39" t="str">
        <f>'Resep Menu'!F64</f>
        <v>ml</v>
      </c>
      <c r="G84" s="35">
        <f t="shared" si="2"/>
        <v>50</v>
      </c>
      <c r="H84" s="40">
        <f t="shared" si="3"/>
        <v>5000</v>
      </c>
      <c r="I84" s="39" t="str">
        <f>INDEX('Master Bahan Baku'!$E$5:$E$18,MATCH(C84,'Master Bahan Baku'!$A$5:$A$18,0))</f>
        <v>liter</v>
      </c>
      <c r="J84" s="40">
        <f>IFERROR(H84/INDEX('Master Bahan Baku'!$F$5:$F$18,MATCH(C84,'Master Bahan Baku'!$A$5:$A$18,0)),0)</f>
        <v>5</v>
      </c>
      <c r="K84" s="17">
        <f>H84*INDEX('Master Bahan Baku'!$H$5:$H$18,MATCH(C84,'Master Bahan Baku'!$A$5:$A$18,0))</f>
        <v>190000</v>
      </c>
    </row>
    <row r="85" spans="1:11" ht="23.25" customHeight="1" x14ac:dyDescent="0.2">
      <c r="A85" s="35" t="str">
        <f>IF('Resep Menu'!A65="","",'Resep Menu'!A65)</f>
        <v/>
      </c>
      <c r="B85" s="36" t="str">
        <f>'Resep Menu'!B65</f>
        <v>Oatside Signature Gula Aren</v>
      </c>
      <c r="C85" s="39" t="str">
        <f>'Resep Menu'!C65</f>
        <v>B05</v>
      </c>
      <c r="D85" s="36" t="str">
        <f>'Resep Menu'!D65</f>
        <v>Gula Aren Cair (Palm Sugar Syrup)</v>
      </c>
      <c r="E85" s="40">
        <f>'Resep Menu'!E65</f>
        <v>30</v>
      </c>
      <c r="F85" s="39" t="str">
        <f>'Resep Menu'!F65</f>
        <v>ml</v>
      </c>
      <c r="G85" s="35">
        <f t="shared" si="2"/>
        <v>50</v>
      </c>
      <c r="H85" s="40">
        <f t="shared" si="3"/>
        <v>1500</v>
      </c>
      <c r="I85" s="39" t="str">
        <f>INDEX('Master Bahan Baku'!$E$5:$E$18,MATCH(C85,'Master Bahan Baku'!$A$5:$A$18,0))</f>
        <v>liter</v>
      </c>
      <c r="J85" s="40">
        <f>IFERROR(H85/INDEX('Master Bahan Baku'!$F$5:$F$18,MATCH(C85,'Master Bahan Baku'!$A$5:$A$18,0)),0)</f>
        <v>1.5</v>
      </c>
      <c r="K85" s="17">
        <f>H85*INDEX('Master Bahan Baku'!$H$5:$H$18,MATCH(C85,'Master Bahan Baku'!$A$5:$A$18,0))</f>
        <v>52500</v>
      </c>
    </row>
    <row r="86" spans="1:11" ht="23.25" customHeight="1" x14ac:dyDescent="0.2">
      <c r="A86" s="35" t="str">
        <f>IF('Resep Menu'!A66="","",'Resep Menu'!A66)</f>
        <v/>
      </c>
      <c r="B86" s="36" t="str">
        <f>'Resep Menu'!B66</f>
        <v>Oatside Signature Gula Aren</v>
      </c>
      <c r="C86" s="39" t="str">
        <f>'Resep Menu'!C66</f>
        <v>B13</v>
      </c>
      <c r="D86" s="36" t="str">
        <f>'Resep Menu'!D66</f>
        <v>Es Batu</v>
      </c>
      <c r="E86" s="40">
        <f>'Resep Menu'!E66</f>
        <v>100</v>
      </c>
      <c r="F86" s="39" t="str">
        <f>'Resep Menu'!F66</f>
        <v>gram</v>
      </c>
      <c r="G86" s="35">
        <f t="shared" si="2"/>
        <v>50</v>
      </c>
      <c r="H86" s="40">
        <f t="shared" si="3"/>
        <v>5000</v>
      </c>
      <c r="I86" s="39" t="str">
        <f>INDEX('Master Bahan Baku'!$E$5:$E$18,MATCH(C86,'Master Bahan Baku'!$A$5:$A$18,0))</f>
        <v>kg</v>
      </c>
      <c r="J86" s="40">
        <f>IFERROR(H86/INDEX('Master Bahan Baku'!$F$5:$F$18,MATCH(C86,'Master Bahan Baku'!$A$5:$A$18,0)),0)</f>
        <v>5</v>
      </c>
      <c r="K86" s="17">
        <f>H86*INDEX('Master Bahan Baku'!$H$5:$H$18,MATCH(C86,'Master Bahan Baku'!$A$5:$A$18,0))</f>
        <v>15000</v>
      </c>
    </row>
    <row r="87" spans="1:11" ht="23.25" customHeight="1" x14ac:dyDescent="0.2">
      <c r="A87" s="35" t="str">
        <f>IF('Resep Menu'!A67="","",'Resep Menu'!A67)</f>
        <v/>
      </c>
      <c r="B87" s="36" t="str">
        <f>'Resep Menu'!B67</f>
        <v>Oatside Signature Gula Aren</v>
      </c>
      <c r="C87" s="39" t="str">
        <f>'Resep Menu'!C67</f>
        <v>B14</v>
      </c>
      <c r="D87" s="36" t="str">
        <f>'Resep Menu'!D67</f>
        <v>Cup Plastik 12oz + Tutup</v>
      </c>
      <c r="E87" s="40">
        <f>'Resep Menu'!E67</f>
        <v>1</v>
      </c>
      <c r="F87" s="39" t="str">
        <f>'Resep Menu'!F67</f>
        <v>pcs</v>
      </c>
      <c r="G87" s="35">
        <f t="shared" si="2"/>
        <v>50</v>
      </c>
      <c r="H87" s="40">
        <f t="shared" si="3"/>
        <v>50</v>
      </c>
      <c r="I87" s="39" t="str">
        <f>INDEX('Master Bahan Baku'!$E$5:$E$18,MATCH(C87,'Master Bahan Baku'!$A$5:$A$18,0))</f>
        <v>pcs</v>
      </c>
      <c r="J87" s="40">
        <f>IFERROR(H87/INDEX('Master Bahan Baku'!$F$5:$F$18,MATCH(C87,'Master Bahan Baku'!$A$5:$A$18,0)),0)</f>
        <v>50</v>
      </c>
      <c r="K87" s="17">
        <f>H87*INDEX('Master Bahan Baku'!$H$5:$H$18,MATCH(C87,'Master Bahan Baku'!$A$5:$A$18,0))</f>
        <v>42500</v>
      </c>
    </row>
    <row r="88" spans="1:11" ht="23.25" customHeight="1" x14ac:dyDescent="0.2">
      <c r="A88" s="35" t="str">
        <f>IF('Resep Menu'!A68="","",'Resep Menu'!A68)</f>
        <v/>
      </c>
      <c r="B88" s="36" t="str">
        <f>'Resep Menu'!B68</f>
        <v>Oatside Signature Gula Aren</v>
      </c>
      <c r="C88" s="39" t="str">
        <f>'Resep Menu'!C68</f>
        <v>B16</v>
      </c>
      <c r="D88" s="36" t="str">
        <f>'Resep Menu'!D68</f>
        <v>Sedotan</v>
      </c>
      <c r="E88" s="40">
        <f>'Resep Menu'!E68</f>
        <v>1</v>
      </c>
      <c r="F88" s="39" t="str">
        <f>'Resep Menu'!F68</f>
        <v>pcs</v>
      </c>
      <c r="G88" s="35">
        <f t="shared" si="2"/>
        <v>50</v>
      </c>
      <c r="H88" s="40">
        <f t="shared" si="3"/>
        <v>50</v>
      </c>
      <c r="I88" s="39" t="str">
        <f>INDEX('Master Bahan Baku'!$E$5:$E$18,MATCH(C88,'Master Bahan Baku'!$A$5:$A$18,0))</f>
        <v>pcs</v>
      </c>
      <c r="J88" s="40">
        <f>IFERROR(H88/INDEX('Master Bahan Baku'!$F$5:$F$18,MATCH(C88,'Master Bahan Baku'!$A$5:$A$18,0)),0)</f>
        <v>50</v>
      </c>
      <c r="K88" s="17">
        <f>H88*INDEX('Master Bahan Baku'!$H$5:$H$18,MATCH(C88,'Master Bahan Baku'!$A$5:$A$18,0))</f>
        <v>5000</v>
      </c>
    </row>
    <row r="89" spans="1:11" ht="23.25" customHeight="1" x14ac:dyDescent="0.2">
      <c r="A89" s="39"/>
      <c r="B89" s="36"/>
      <c r="C89" s="39"/>
      <c r="D89" s="40"/>
      <c r="E89" s="39"/>
      <c r="F89" s="39"/>
      <c r="G89" s="35"/>
      <c r="H89" s="41"/>
      <c r="J89" s="42"/>
    </row>
    <row r="90" spans="1:11" ht="23.25" customHeight="1" x14ac:dyDescent="0.2">
      <c r="A90" s="87" t="s">
        <v>117</v>
      </c>
      <c r="B90" s="87"/>
      <c r="C90" s="87"/>
      <c r="D90" s="87"/>
      <c r="E90" s="87"/>
      <c r="F90" s="87"/>
      <c r="G90" s="87"/>
      <c r="H90" s="87"/>
      <c r="I90" s="87"/>
      <c r="J90" s="87"/>
      <c r="K90" s="87"/>
    </row>
    <row r="91" spans="1:11" ht="23.25" customHeight="1" x14ac:dyDescent="0.2">
      <c r="A91" s="10" t="s">
        <v>42</v>
      </c>
      <c r="B91" s="10" t="s">
        <v>43</v>
      </c>
      <c r="C91" s="10" t="s">
        <v>44</v>
      </c>
      <c r="D91" s="10" t="s">
        <v>114</v>
      </c>
      <c r="E91" s="10" t="s">
        <v>48</v>
      </c>
      <c r="F91" s="10" t="s">
        <v>46</v>
      </c>
      <c r="G91" s="10" t="s">
        <v>118</v>
      </c>
      <c r="H91" s="10" t="s">
        <v>119</v>
      </c>
      <c r="J91" s="10" t="s">
        <v>116</v>
      </c>
      <c r="K91" s="17"/>
    </row>
    <row r="92" spans="1:11" ht="23.25" customHeight="1" x14ac:dyDescent="0.2">
      <c r="A92" s="39" t="str">
        <f>'Master Bahan Baku'!A5</f>
        <v>B01</v>
      </c>
      <c r="B92" s="36" t="str">
        <f>'Master Bahan Baku'!B5</f>
        <v>Kopi Robusta Bubuk/Biji</v>
      </c>
      <c r="C92" s="39" t="str">
        <f>'Master Bahan Baku'!C5</f>
        <v>Kopi</v>
      </c>
      <c r="D92" s="40">
        <f t="shared" ref="D92:D105" si="4">SUMIF($C$25:$C$150,A92,$H$25:$H$150)</f>
        <v>2250</v>
      </c>
      <c r="E92" s="39" t="str">
        <f>'Master Bahan Baku'!G5</f>
        <v>gram</v>
      </c>
      <c r="F92" s="39" t="str">
        <f>'Master Bahan Baku'!E5</f>
        <v>kg</v>
      </c>
      <c r="G92" s="35">
        <f>'Master Bahan Baku'!F5</f>
        <v>1000</v>
      </c>
      <c r="H92" s="80">
        <f t="shared" ref="H92:H105" si="5">IF(G92=0,0,ROUNDUP(D92/G92,2))</f>
        <v>2.25</v>
      </c>
      <c r="I92" s="80"/>
      <c r="J92" s="81">
        <f t="shared" ref="J92:J105" si="6">SUMIF($C$25:$C$150,A92,$K$25:$K$150)</f>
        <v>283500</v>
      </c>
      <c r="K92" s="81"/>
    </row>
    <row r="93" spans="1:11" ht="23.25" customHeight="1" x14ac:dyDescent="0.2">
      <c r="A93" s="39" t="str">
        <f>'Master Bahan Baku'!A6</f>
        <v>B02</v>
      </c>
      <c r="B93" s="36" t="str">
        <f>'Master Bahan Baku'!B6</f>
        <v>Kopi Blend Bubuk/Biji</v>
      </c>
      <c r="C93" s="39" t="str">
        <f>'Master Bahan Baku'!C6</f>
        <v>Kopi</v>
      </c>
      <c r="D93" s="40">
        <f t="shared" si="4"/>
        <v>5100</v>
      </c>
      <c r="E93" s="39" t="str">
        <f>'Master Bahan Baku'!G6</f>
        <v>gram</v>
      </c>
      <c r="F93" s="39" t="str">
        <f>'Master Bahan Baku'!E6</f>
        <v>kg</v>
      </c>
      <c r="G93" s="35">
        <f>'Master Bahan Baku'!F6</f>
        <v>1000</v>
      </c>
      <c r="H93" s="80">
        <f t="shared" si="5"/>
        <v>5.0999999999999996</v>
      </c>
      <c r="I93" s="80"/>
      <c r="J93" s="81">
        <f t="shared" si="6"/>
        <v>1020000</v>
      </c>
      <c r="K93" s="81"/>
    </row>
    <row r="94" spans="1:11" ht="23.25" customHeight="1" x14ac:dyDescent="0.2">
      <c r="A94" s="39" t="str">
        <f>'Master Bahan Baku'!A7</f>
        <v>B03</v>
      </c>
      <c r="B94" s="36" t="str">
        <f>'Master Bahan Baku'!B7</f>
        <v>Susu Full Cream UHT</v>
      </c>
      <c r="C94" s="39" t="str">
        <f>'Master Bahan Baku'!C7</f>
        <v>Susu</v>
      </c>
      <c r="D94" s="40">
        <f t="shared" si="4"/>
        <v>35000</v>
      </c>
      <c r="E94" s="39" t="str">
        <f>'Master Bahan Baku'!G7</f>
        <v>ml</v>
      </c>
      <c r="F94" s="39" t="str">
        <f>'Master Bahan Baku'!E7</f>
        <v>liter</v>
      </c>
      <c r="G94" s="35">
        <f>'Master Bahan Baku'!F7</f>
        <v>1000</v>
      </c>
      <c r="H94" s="80">
        <f t="shared" si="5"/>
        <v>35</v>
      </c>
      <c r="I94" s="80"/>
      <c r="J94" s="81">
        <f t="shared" si="6"/>
        <v>770000</v>
      </c>
      <c r="K94" s="81"/>
    </row>
    <row r="95" spans="1:11" ht="23.25" customHeight="1" x14ac:dyDescent="0.2">
      <c r="A95" s="39" t="str">
        <f>'Master Bahan Baku'!A8</f>
        <v>B05</v>
      </c>
      <c r="B95" s="36" t="str">
        <f>'Master Bahan Baku'!B8</f>
        <v>Gula Aren Cair (Palm Sugar Syrup)</v>
      </c>
      <c r="C95" s="39" t="str">
        <f>'Master Bahan Baku'!C8</f>
        <v>Pemanis</v>
      </c>
      <c r="D95" s="40">
        <f t="shared" si="4"/>
        <v>4500</v>
      </c>
      <c r="E95" s="39" t="str">
        <f>'Master Bahan Baku'!G8</f>
        <v>ml</v>
      </c>
      <c r="F95" s="39" t="str">
        <f>'Master Bahan Baku'!E8</f>
        <v>liter</v>
      </c>
      <c r="G95" s="35">
        <f>'Master Bahan Baku'!F8</f>
        <v>1000</v>
      </c>
      <c r="H95" s="80">
        <f t="shared" si="5"/>
        <v>4.5</v>
      </c>
      <c r="I95" s="80"/>
      <c r="J95" s="81">
        <f t="shared" si="6"/>
        <v>157500</v>
      </c>
      <c r="K95" s="81"/>
    </row>
    <row r="96" spans="1:11" ht="23.25" customHeight="1" x14ac:dyDescent="0.2">
      <c r="A96" s="39" t="str">
        <f>'Master Bahan Baku'!A9</f>
        <v>B06</v>
      </c>
      <c r="B96" s="36" t="str">
        <f>'Master Bahan Baku'!B9</f>
        <v>Gula Cair (Simple Syrup)</v>
      </c>
      <c r="C96" s="39" t="str">
        <f>'Master Bahan Baku'!C9</f>
        <v>Pemanis</v>
      </c>
      <c r="D96" s="40">
        <f t="shared" si="4"/>
        <v>1500</v>
      </c>
      <c r="E96" s="39" t="str">
        <f>'Master Bahan Baku'!G9</f>
        <v>ml</v>
      </c>
      <c r="F96" s="39" t="str">
        <f>'Master Bahan Baku'!E9</f>
        <v>liter</v>
      </c>
      <c r="G96" s="35">
        <f>'Master Bahan Baku'!F9</f>
        <v>1000</v>
      </c>
      <c r="H96" s="80">
        <f t="shared" si="5"/>
        <v>1.5</v>
      </c>
      <c r="I96" s="80"/>
      <c r="J96" s="81">
        <f t="shared" si="6"/>
        <v>22500</v>
      </c>
      <c r="K96" s="81"/>
    </row>
    <row r="97" spans="1:11" ht="15" customHeight="1" x14ac:dyDescent="0.2">
      <c r="A97" s="39" t="str">
        <f>'Master Bahan Baku'!A10</f>
        <v>B08</v>
      </c>
      <c r="B97" s="36" t="str">
        <f>'Master Bahan Baku'!B10</f>
        <v>Garam Laut (Sea Salt)</v>
      </c>
      <c r="C97" s="39" t="str">
        <f>'Master Bahan Baku'!C10</f>
        <v>Topping</v>
      </c>
      <c r="D97" s="40">
        <f t="shared" si="4"/>
        <v>50</v>
      </c>
      <c r="E97" s="39" t="str">
        <f>'Master Bahan Baku'!G10</f>
        <v>gram</v>
      </c>
      <c r="F97" s="39" t="str">
        <f>'Master Bahan Baku'!E10</f>
        <v>kg</v>
      </c>
      <c r="G97" s="35">
        <f>'Master Bahan Baku'!F10</f>
        <v>1000</v>
      </c>
      <c r="H97" s="80">
        <f t="shared" si="5"/>
        <v>0.05</v>
      </c>
      <c r="I97" s="80"/>
      <c r="J97" s="81">
        <f t="shared" si="6"/>
        <v>1000</v>
      </c>
      <c r="K97" s="81"/>
    </row>
    <row r="98" spans="1:11" ht="15" customHeight="1" x14ac:dyDescent="0.2">
      <c r="A98" s="39" t="str">
        <f>'Master Bahan Baku'!A11</f>
        <v>B09</v>
      </c>
      <c r="B98" s="36" t="str">
        <f>'Master Bahan Baku'!B11</f>
        <v>Bubuk Matcha</v>
      </c>
      <c r="C98" s="39" t="str">
        <f>'Master Bahan Baku'!C11</f>
        <v>Bubuk Rasa</v>
      </c>
      <c r="D98" s="40">
        <f t="shared" si="4"/>
        <v>400</v>
      </c>
      <c r="E98" s="39" t="str">
        <f>'Master Bahan Baku'!G11</f>
        <v>gram</v>
      </c>
      <c r="F98" s="39" t="str">
        <f>'Master Bahan Baku'!E11</f>
        <v>gram</v>
      </c>
      <c r="G98" s="35">
        <f>'Master Bahan Baku'!F11</f>
        <v>100</v>
      </c>
      <c r="H98" s="80">
        <f t="shared" si="5"/>
        <v>4</v>
      </c>
      <c r="I98" s="80"/>
      <c r="J98" s="81">
        <f t="shared" si="6"/>
        <v>468000</v>
      </c>
      <c r="K98" s="81"/>
    </row>
    <row r="99" spans="1:11" ht="15" customHeight="1" x14ac:dyDescent="0.2">
      <c r="A99" s="39" t="str">
        <f>'Master Bahan Baku'!A12</f>
        <v>B13</v>
      </c>
      <c r="B99" s="36" t="str">
        <f>'Master Bahan Baku'!B12</f>
        <v>Es Batu</v>
      </c>
      <c r="C99" s="39" t="str">
        <f>'Master Bahan Baku'!C12</f>
        <v>Es</v>
      </c>
      <c r="D99" s="40">
        <f t="shared" si="4"/>
        <v>45000</v>
      </c>
      <c r="E99" s="39" t="str">
        <f>'Master Bahan Baku'!G12</f>
        <v>gram</v>
      </c>
      <c r="F99" s="39" t="str">
        <f>'Master Bahan Baku'!E12</f>
        <v>kg</v>
      </c>
      <c r="G99" s="35">
        <f>'Master Bahan Baku'!F12</f>
        <v>1000</v>
      </c>
      <c r="H99" s="80">
        <f t="shared" si="5"/>
        <v>45</v>
      </c>
      <c r="I99" s="80"/>
      <c r="J99" s="81">
        <f t="shared" si="6"/>
        <v>135000</v>
      </c>
      <c r="K99" s="81"/>
    </row>
    <row r="100" spans="1:11" ht="15" customHeight="1" x14ac:dyDescent="0.2">
      <c r="A100" s="39" t="str">
        <f>'Master Bahan Baku'!A13</f>
        <v>B14</v>
      </c>
      <c r="B100" s="36" t="str">
        <f>'Master Bahan Baku'!B13</f>
        <v>Cup Plastik 12oz + Tutup</v>
      </c>
      <c r="C100" s="39" t="str">
        <f>'Master Bahan Baku'!C13</f>
        <v>Kemasan</v>
      </c>
      <c r="D100" s="40">
        <f t="shared" si="4"/>
        <v>500</v>
      </c>
      <c r="E100" s="39" t="str">
        <f>'Master Bahan Baku'!G13</f>
        <v>pcs</v>
      </c>
      <c r="F100" s="39" t="str">
        <f>'Master Bahan Baku'!E13</f>
        <v>pcs</v>
      </c>
      <c r="G100" s="35">
        <f>'Master Bahan Baku'!F13</f>
        <v>1</v>
      </c>
      <c r="H100" s="80">
        <f t="shared" si="5"/>
        <v>500</v>
      </c>
      <c r="I100" s="80"/>
      <c r="J100" s="81">
        <f t="shared" si="6"/>
        <v>425000</v>
      </c>
      <c r="K100" s="81"/>
    </row>
    <row r="101" spans="1:11" ht="15" customHeight="1" x14ac:dyDescent="0.2">
      <c r="A101" s="39" t="str">
        <f>'Master Bahan Baku'!A14</f>
        <v>B16</v>
      </c>
      <c r="B101" s="36" t="str">
        <f>'Master Bahan Baku'!B14</f>
        <v>Sedotan</v>
      </c>
      <c r="C101" s="39" t="str">
        <f>'Master Bahan Baku'!C14</f>
        <v>Kemasan</v>
      </c>
      <c r="D101" s="40">
        <f t="shared" si="4"/>
        <v>450</v>
      </c>
      <c r="E101" s="39" t="str">
        <f>'Master Bahan Baku'!G14</f>
        <v>pcs</v>
      </c>
      <c r="F101" s="39" t="str">
        <f>'Master Bahan Baku'!E14</f>
        <v>pcs</v>
      </c>
      <c r="G101" s="35">
        <f>'Master Bahan Baku'!F14</f>
        <v>1</v>
      </c>
      <c r="H101" s="80">
        <f t="shared" si="5"/>
        <v>450</v>
      </c>
      <c r="I101" s="80"/>
      <c r="J101" s="81">
        <f t="shared" si="6"/>
        <v>45000</v>
      </c>
      <c r="K101" s="81"/>
    </row>
    <row r="102" spans="1:11" ht="15" customHeight="1" x14ac:dyDescent="0.2">
      <c r="A102" s="39" t="str">
        <f>'Master Bahan Baku'!A15</f>
        <v>B18</v>
      </c>
      <c r="B102" s="36" t="str">
        <f>'Master Bahan Baku'!B15</f>
        <v>Sirup Butterscotch</v>
      </c>
      <c r="C102" s="39" t="str">
        <f>'Master Bahan Baku'!C15</f>
        <v>Pemanis</v>
      </c>
      <c r="D102" s="40">
        <f t="shared" si="4"/>
        <v>1250</v>
      </c>
      <c r="E102" s="39" t="str">
        <f>'Master Bahan Baku'!G15</f>
        <v>ml</v>
      </c>
      <c r="F102" s="39" t="str">
        <f>'Master Bahan Baku'!E15</f>
        <v>liter</v>
      </c>
      <c r="G102" s="35">
        <f>'Master Bahan Baku'!F15</f>
        <v>1000</v>
      </c>
      <c r="H102" s="80">
        <f t="shared" si="5"/>
        <v>1.25</v>
      </c>
      <c r="I102" s="80"/>
      <c r="J102" s="81">
        <f t="shared" si="6"/>
        <v>60000</v>
      </c>
      <c r="K102" s="81"/>
    </row>
    <row r="103" spans="1:11" ht="15" customHeight="1" x14ac:dyDescent="0.2">
      <c r="A103" s="39" t="str">
        <f>'Master Bahan Baku'!A16</f>
        <v>B20</v>
      </c>
      <c r="B103" s="36" t="str">
        <f>'Master Bahan Baku'!B16</f>
        <v>Krimer Bubuk</v>
      </c>
      <c r="C103" s="39" t="str">
        <f>'Master Bahan Baku'!C16</f>
        <v>Susu</v>
      </c>
      <c r="D103" s="40">
        <f t="shared" si="4"/>
        <v>8000</v>
      </c>
      <c r="E103" s="39" t="str">
        <f>'Master Bahan Baku'!G16</f>
        <v>gram</v>
      </c>
      <c r="F103" s="39" t="str">
        <f>'Master Bahan Baku'!E16</f>
        <v>kg</v>
      </c>
      <c r="G103" s="35">
        <f>'Master Bahan Baku'!F16</f>
        <v>1000</v>
      </c>
      <c r="H103" s="80">
        <f t="shared" si="5"/>
        <v>8</v>
      </c>
      <c r="I103" s="80"/>
      <c r="J103" s="81">
        <f t="shared" si="6"/>
        <v>440000</v>
      </c>
      <c r="K103" s="81"/>
    </row>
    <row r="104" spans="1:11" ht="23.25" customHeight="1" x14ac:dyDescent="0.2">
      <c r="A104" s="39" t="str">
        <f>'Master Bahan Baku'!A17</f>
        <v>B22</v>
      </c>
      <c r="B104" s="36" t="str">
        <f>'Master Bahan Baku'!B17</f>
        <v>Susu Oat (Oatside Barista Blend)</v>
      </c>
      <c r="C104" s="39" t="str">
        <f>'Master Bahan Baku'!C17</f>
        <v>Susu</v>
      </c>
      <c r="D104" s="40">
        <f t="shared" si="4"/>
        <v>10000</v>
      </c>
      <c r="E104" s="39" t="str">
        <f>'Master Bahan Baku'!G17</f>
        <v>ml</v>
      </c>
      <c r="F104" s="39" t="str">
        <f>'Master Bahan Baku'!E17</f>
        <v>liter</v>
      </c>
      <c r="G104" s="35">
        <f>'Master Bahan Baku'!F17</f>
        <v>1000</v>
      </c>
      <c r="H104" s="80">
        <f t="shared" si="5"/>
        <v>10</v>
      </c>
      <c r="I104" s="80"/>
      <c r="J104" s="81">
        <f t="shared" si="6"/>
        <v>380000</v>
      </c>
      <c r="K104" s="81"/>
    </row>
    <row r="105" spans="1:11" ht="15" customHeight="1" x14ac:dyDescent="0.2">
      <c r="A105" s="39" t="str">
        <f>'Master Bahan Baku'!A18</f>
        <v>B23</v>
      </c>
      <c r="B105" s="1" t="str">
        <f>'Master Bahan Baku'!B18</f>
        <v>Susu Kental Manis (SKM)</v>
      </c>
      <c r="C105" s="1" t="str">
        <f>'Master Bahan Baku'!C18</f>
        <v>Pemanis</v>
      </c>
      <c r="D105" s="1">
        <f t="shared" si="4"/>
        <v>3250</v>
      </c>
      <c r="E105" s="1" t="str">
        <f>'Master Bahan Baku'!G18</f>
        <v>ml</v>
      </c>
      <c r="F105" s="1" t="str">
        <f>'Master Bahan Baku'!E18</f>
        <v>liter</v>
      </c>
      <c r="G105" s="1">
        <f>'Master Bahan Baku'!F18</f>
        <v>1000</v>
      </c>
      <c r="H105" s="82">
        <f t="shared" si="5"/>
        <v>3.25</v>
      </c>
      <c r="I105" s="82"/>
      <c r="J105" s="81">
        <f t="shared" si="6"/>
        <v>65000</v>
      </c>
      <c r="K105" s="81"/>
    </row>
    <row r="106" spans="1:11" ht="15" customHeight="1" x14ac:dyDescent="0.2">
      <c r="A106" s="83" t="s">
        <v>120</v>
      </c>
      <c r="B106" s="83"/>
      <c r="C106" s="83"/>
      <c r="D106" s="83"/>
      <c r="E106" s="83"/>
      <c r="F106" s="83"/>
      <c r="G106" s="83"/>
      <c r="H106" s="83"/>
      <c r="I106" s="83"/>
      <c r="J106" s="44">
        <f>SUM(J92:J105)</f>
        <v>4272500</v>
      </c>
      <c r="K106" s="45"/>
    </row>
    <row r="107" spans="1:11" ht="15" customHeight="1" x14ac:dyDescent="0.2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</row>
    <row r="108" spans="1:11" ht="15" customHeight="1" x14ac:dyDescent="0.2">
      <c r="A108" s="78" t="s">
        <v>90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</row>
    <row r="109" spans="1:11" ht="23.25" customHeight="1" x14ac:dyDescent="0.2">
      <c r="A109" s="78" t="s">
        <v>121</v>
      </c>
      <c r="B109" s="78"/>
      <c r="C109" s="78"/>
      <c r="D109" s="78"/>
      <c r="E109" s="78"/>
      <c r="F109" s="78"/>
      <c r="G109" s="78"/>
      <c r="H109" s="78"/>
      <c r="I109" s="78"/>
      <c r="J109" s="78"/>
      <c r="K109" s="78"/>
    </row>
    <row r="110" spans="1:11" ht="23.25" customHeight="1" x14ac:dyDescent="0.2">
      <c r="A110" s="78" t="s">
        <v>122</v>
      </c>
      <c r="B110" s="78"/>
      <c r="C110" s="78"/>
      <c r="D110" s="78"/>
      <c r="E110" s="78"/>
      <c r="F110" s="78"/>
      <c r="G110" s="78"/>
      <c r="H110" s="78"/>
      <c r="I110" s="78"/>
      <c r="J110" s="78"/>
      <c r="K110" s="78"/>
    </row>
    <row r="111" spans="1:11" ht="23.25" customHeight="1" x14ac:dyDescent="0.2">
      <c r="A111" s="78" t="s">
        <v>123</v>
      </c>
      <c r="B111" s="78"/>
      <c r="C111" s="78"/>
      <c r="D111" s="78"/>
      <c r="E111" s="78"/>
      <c r="F111" s="78"/>
      <c r="G111" s="78"/>
      <c r="H111" s="78"/>
      <c r="I111" s="78"/>
      <c r="J111" s="78"/>
      <c r="K111" s="78"/>
    </row>
    <row r="112" spans="1:11" ht="23.25" customHeight="1" x14ac:dyDescent="0.2">
      <c r="A112" s="78" t="s">
        <v>124</v>
      </c>
      <c r="B112" s="78"/>
      <c r="C112" s="78"/>
      <c r="D112" s="78"/>
      <c r="E112" s="78"/>
      <c r="F112" s="78"/>
      <c r="G112" s="78"/>
      <c r="H112" s="78"/>
      <c r="I112" s="78"/>
      <c r="J112" s="78"/>
      <c r="K112" s="78"/>
    </row>
    <row r="113" spans="1:11" ht="23.25" customHeight="1" x14ac:dyDescent="0.2">
      <c r="A113" s="78" t="s">
        <v>125</v>
      </c>
      <c r="B113" s="78"/>
      <c r="C113" s="78"/>
      <c r="D113" s="78"/>
      <c r="E113" s="78"/>
      <c r="F113" s="78"/>
      <c r="G113" s="78"/>
      <c r="H113" s="78"/>
      <c r="I113" s="78"/>
      <c r="J113" s="78"/>
      <c r="K113" s="78"/>
    </row>
    <row r="114" spans="1:11" ht="23.25" customHeight="1" x14ac:dyDescent="0.2">
      <c r="A114" s="43" t="s">
        <v>126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5"/>
    </row>
    <row r="115" spans="1:11" ht="15" customHeight="1" x14ac:dyDescent="0.2">
      <c r="A115" s="47"/>
    </row>
    <row r="116" spans="1:11" ht="23.25" customHeight="1" x14ac:dyDescent="0.2">
      <c r="A116" s="48"/>
    </row>
    <row r="117" spans="1:11" ht="15" customHeight="1" x14ac:dyDescent="0.2">
      <c r="A117" s="48"/>
    </row>
    <row r="118" spans="1:11" ht="15" customHeight="1" x14ac:dyDescent="0.2">
      <c r="A118" s="48"/>
    </row>
    <row r="119" spans="1:11" ht="18" customHeight="1" x14ac:dyDescent="0.2">
      <c r="A119" s="48"/>
    </row>
    <row r="120" spans="1:11" ht="23.25" customHeight="1" x14ac:dyDescent="0.2">
      <c r="A120" s="48"/>
    </row>
    <row r="121" spans="1:11" ht="15" customHeight="1" x14ac:dyDescent="0.2">
      <c r="A121" s="48"/>
    </row>
    <row r="122" spans="1:11" ht="15" customHeight="1" x14ac:dyDescent="0.2">
      <c r="A122" s="48"/>
    </row>
    <row r="123" spans="1:11" ht="15" customHeight="1" x14ac:dyDescent="0.2">
      <c r="A123" s="39"/>
      <c r="B123" s="36"/>
      <c r="C123" s="39"/>
      <c r="D123" s="40"/>
      <c r="E123" s="39"/>
      <c r="F123" s="39"/>
      <c r="G123" s="35"/>
      <c r="H123" s="41"/>
      <c r="J123" s="42"/>
    </row>
    <row r="124" spans="1:11" ht="15" customHeight="1" x14ac:dyDescent="0.2">
      <c r="A124" s="39"/>
      <c r="B124" s="36"/>
      <c r="C124" s="39"/>
      <c r="D124" s="40"/>
      <c r="E124" s="39"/>
      <c r="F124" s="39"/>
      <c r="G124" s="35"/>
      <c r="H124" s="41"/>
      <c r="J124" s="42"/>
    </row>
    <row r="125" spans="1:11" ht="15" customHeight="1" x14ac:dyDescent="0.2">
      <c r="A125" s="39"/>
      <c r="B125" s="36"/>
      <c r="C125" s="39"/>
      <c r="D125" s="40"/>
      <c r="E125" s="39"/>
      <c r="F125" s="39"/>
      <c r="G125" s="35"/>
      <c r="H125" s="41"/>
      <c r="J125" s="42"/>
    </row>
    <row r="126" spans="1:11" ht="15" customHeight="1" x14ac:dyDescent="0.2">
      <c r="A126" s="39"/>
      <c r="B126" s="36"/>
      <c r="C126" s="39"/>
      <c r="D126" s="40"/>
      <c r="E126" s="39"/>
      <c r="F126" s="39"/>
      <c r="G126" s="35"/>
      <c r="H126" s="41"/>
      <c r="J126" s="42"/>
    </row>
    <row r="127" spans="1:11" ht="15" customHeight="1" x14ac:dyDescent="0.2">
      <c r="A127" s="39"/>
      <c r="B127" s="36"/>
      <c r="C127" s="39"/>
      <c r="D127" s="40"/>
      <c r="E127" s="39"/>
      <c r="F127" s="39"/>
      <c r="G127" s="35"/>
      <c r="H127" s="41"/>
      <c r="J127" s="42"/>
    </row>
    <row r="128" spans="1:11" ht="15" customHeight="1" x14ac:dyDescent="0.2">
      <c r="A128" s="39"/>
      <c r="B128" s="36"/>
      <c r="C128" s="39"/>
      <c r="D128" s="40"/>
      <c r="E128" s="39"/>
      <c r="F128" s="39"/>
      <c r="G128" s="35"/>
      <c r="H128" s="41"/>
      <c r="J128" s="42"/>
    </row>
    <row r="129" spans="1:10" ht="15" customHeight="1" x14ac:dyDescent="0.2">
      <c r="A129" s="39"/>
      <c r="B129" s="36"/>
      <c r="C129" s="39"/>
      <c r="D129" s="40"/>
      <c r="E129" s="39"/>
      <c r="F129" s="39"/>
      <c r="G129" s="35"/>
      <c r="H129" s="41"/>
      <c r="J129" s="42"/>
    </row>
    <row r="130" spans="1:10" ht="15" customHeight="1" x14ac:dyDescent="0.2">
      <c r="A130" s="39"/>
      <c r="B130" s="36"/>
      <c r="C130" s="39"/>
      <c r="D130" s="40"/>
      <c r="E130" s="39"/>
      <c r="F130" s="39"/>
      <c r="G130" s="35"/>
      <c r="H130" s="41"/>
      <c r="J130" s="42"/>
    </row>
    <row r="131" spans="1:10" ht="15" customHeight="1" x14ac:dyDescent="0.2">
      <c r="A131" s="39"/>
      <c r="B131" s="36"/>
      <c r="C131" s="39"/>
      <c r="D131" s="40"/>
      <c r="E131" s="39"/>
      <c r="F131" s="39"/>
      <c r="G131" s="35"/>
      <c r="H131" s="41"/>
      <c r="J131" s="42"/>
    </row>
    <row r="132" spans="1:10" ht="15" customHeight="1" x14ac:dyDescent="0.2">
      <c r="A132" s="39"/>
      <c r="B132" s="36"/>
      <c r="C132" s="39"/>
      <c r="D132" s="40"/>
      <c r="E132" s="39"/>
      <c r="F132" s="39"/>
      <c r="G132" s="35"/>
      <c r="H132" s="41"/>
      <c r="J132" s="42"/>
    </row>
    <row r="133" spans="1:10" ht="15" customHeight="1" x14ac:dyDescent="0.2">
      <c r="A133" s="39"/>
      <c r="B133" s="36"/>
      <c r="C133" s="39"/>
      <c r="D133" s="40"/>
      <c r="E133" s="39"/>
      <c r="F133" s="39"/>
      <c r="G133" s="35"/>
      <c r="H133" s="41"/>
      <c r="J133" s="42"/>
    </row>
    <row r="134" spans="1:10" ht="15" customHeight="1" x14ac:dyDescent="0.2">
      <c r="A134" s="39"/>
      <c r="B134" s="36"/>
      <c r="C134" s="39"/>
      <c r="D134" s="40"/>
      <c r="E134" s="39"/>
      <c r="F134" s="39"/>
      <c r="G134" s="35"/>
      <c r="H134" s="41"/>
      <c r="J134" s="42"/>
    </row>
    <row r="135" spans="1:10" ht="15" customHeight="1" x14ac:dyDescent="0.2">
      <c r="A135" s="39"/>
      <c r="B135" s="36"/>
      <c r="C135" s="39"/>
      <c r="D135" s="40"/>
      <c r="E135" s="39"/>
      <c r="F135" s="39"/>
      <c r="G135" s="35"/>
      <c r="H135" s="41"/>
      <c r="J135" s="42"/>
    </row>
    <row r="136" spans="1:10" ht="15" customHeight="1" x14ac:dyDescent="0.2">
      <c r="A136" s="39"/>
      <c r="B136" s="36"/>
      <c r="C136" s="39"/>
      <c r="D136" s="40"/>
      <c r="E136" s="39"/>
      <c r="F136" s="39"/>
      <c r="G136" s="35"/>
      <c r="H136" s="41"/>
      <c r="J136" s="42"/>
    </row>
    <row r="137" spans="1:10" ht="15" customHeight="1" x14ac:dyDescent="0.2">
      <c r="A137" s="39"/>
      <c r="B137" s="36"/>
      <c r="C137" s="39"/>
      <c r="D137" s="40"/>
      <c r="E137" s="39"/>
      <c r="F137" s="39"/>
      <c r="G137" s="35"/>
      <c r="H137" s="41"/>
      <c r="J137" s="42"/>
    </row>
    <row r="138" spans="1:10" ht="15" customHeight="1" x14ac:dyDescent="0.2">
      <c r="A138" s="39"/>
      <c r="B138" s="36"/>
      <c r="C138" s="39"/>
      <c r="D138" s="40"/>
      <c r="E138" s="39"/>
      <c r="F138" s="39"/>
      <c r="G138" s="35"/>
      <c r="H138" s="41"/>
      <c r="J138" s="42"/>
    </row>
    <row r="139" spans="1:10" ht="15" customHeight="1" x14ac:dyDescent="0.2">
      <c r="A139" s="39"/>
      <c r="B139" s="36"/>
      <c r="C139" s="39"/>
      <c r="D139" s="40"/>
      <c r="E139" s="39"/>
      <c r="F139" s="39"/>
      <c r="G139" s="35"/>
      <c r="H139" s="41"/>
      <c r="J139" s="42"/>
    </row>
    <row r="140" spans="1:10" ht="15" customHeight="1" x14ac:dyDescent="0.2">
      <c r="A140" s="39"/>
      <c r="B140" s="36"/>
      <c r="C140" s="39"/>
      <c r="D140" s="40"/>
      <c r="E140" s="39"/>
      <c r="F140" s="39"/>
      <c r="G140" s="35"/>
      <c r="H140" s="41"/>
      <c r="J140" s="42"/>
    </row>
    <row r="141" spans="1:10" ht="15" customHeight="1" x14ac:dyDescent="0.2">
      <c r="A141" s="39"/>
      <c r="B141" s="36"/>
      <c r="C141" s="39"/>
      <c r="D141" s="40"/>
      <c r="E141" s="39"/>
      <c r="F141" s="39"/>
      <c r="G141" s="35"/>
      <c r="H141" s="41"/>
      <c r="J141" s="42"/>
    </row>
    <row r="142" spans="1:10" ht="15" customHeight="1" x14ac:dyDescent="0.2">
      <c r="A142" s="39"/>
      <c r="B142" s="36"/>
      <c r="C142" s="39"/>
      <c r="D142" s="40"/>
      <c r="E142" s="39"/>
      <c r="F142" s="39"/>
      <c r="G142" s="35"/>
      <c r="H142" s="41"/>
      <c r="J142" s="42"/>
    </row>
    <row r="143" spans="1:10" ht="15" customHeight="1" x14ac:dyDescent="0.2">
      <c r="A143" s="43"/>
      <c r="J143" s="44"/>
    </row>
    <row r="144" spans="1:10" ht="15" customHeight="1" x14ac:dyDescent="0.2"/>
    <row r="145" spans="1:1" ht="15" customHeight="1" x14ac:dyDescent="0.2">
      <c r="A145" s="49"/>
    </row>
    <row r="146" spans="1:1" ht="15" customHeight="1" x14ac:dyDescent="0.2">
      <c r="A146" s="38"/>
    </row>
    <row r="147" spans="1:1" ht="15" customHeight="1" x14ac:dyDescent="0.2">
      <c r="A147" s="38"/>
    </row>
    <row r="148" spans="1:1" ht="15" customHeight="1" x14ac:dyDescent="0.2">
      <c r="A148" s="38"/>
    </row>
    <row r="149" spans="1:1" ht="15" customHeight="1" x14ac:dyDescent="0.2">
      <c r="A149" s="38"/>
    </row>
    <row r="150" spans="1:1" ht="15" customHeight="1" x14ac:dyDescent="0.2">
      <c r="A150" s="38"/>
    </row>
    <row r="151" spans="1:1" ht="15" customHeight="1" x14ac:dyDescent="0.2">
      <c r="A151" s="38"/>
    </row>
  </sheetData>
  <mergeCells count="82">
    <mergeCell ref="A1:K1"/>
    <mergeCell ref="A2:K2"/>
    <mergeCell ref="A4:K4"/>
    <mergeCell ref="B6:F6"/>
    <mergeCell ref="G6:H6"/>
    <mergeCell ref="I6:K6"/>
    <mergeCell ref="B7:F7"/>
    <mergeCell ref="G7:H7"/>
    <mergeCell ref="I7:K7"/>
    <mergeCell ref="B8:F8"/>
    <mergeCell ref="G8:H8"/>
    <mergeCell ref="I8:K8"/>
    <mergeCell ref="B9:F9"/>
    <mergeCell ref="G9:H9"/>
    <mergeCell ref="I9:K9"/>
    <mergeCell ref="B10:F10"/>
    <mergeCell ref="G10:H10"/>
    <mergeCell ref="I10:K10"/>
    <mergeCell ref="B11:F11"/>
    <mergeCell ref="G11:H11"/>
    <mergeCell ref="I11:K11"/>
    <mergeCell ref="B12:F12"/>
    <mergeCell ref="G12:H12"/>
    <mergeCell ref="I12:K12"/>
    <mergeCell ref="B13:F13"/>
    <mergeCell ref="G13:H13"/>
    <mergeCell ref="I13:K13"/>
    <mergeCell ref="B14:F14"/>
    <mergeCell ref="G14:H14"/>
    <mergeCell ref="I14:K14"/>
    <mergeCell ref="B15:F15"/>
    <mergeCell ref="G15:H15"/>
    <mergeCell ref="I15:K15"/>
    <mergeCell ref="A16:K16"/>
    <mergeCell ref="A18:K18"/>
    <mergeCell ref="A19:F19"/>
    <mergeCell ref="G19:H19"/>
    <mergeCell ref="I19:K19"/>
    <mergeCell ref="A20:F20"/>
    <mergeCell ref="G20:H20"/>
    <mergeCell ref="I20:K20"/>
    <mergeCell ref="A21:F21"/>
    <mergeCell ref="G21:H21"/>
    <mergeCell ref="I21:K21"/>
    <mergeCell ref="A23:K23"/>
    <mergeCell ref="A90:K90"/>
    <mergeCell ref="H92:I92"/>
    <mergeCell ref="J92:K92"/>
    <mergeCell ref="H93:I93"/>
    <mergeCell ref="J93:K93"/>
    <mergeCell ref="H94:I94"/>
    <mergeCell ref="J94:K94"/>
    <mergeCell ref="H95:I95"/>
    <mergeCell ref="J95:K95"/>
    <mergeCell ref="H96:I96"/>
    <mergeCell ref="J96:K96"/>
    <mergeCell ref="H97:I97"/>
    <mergeCell ref="J97:K97"/>
    <mergeCell ref="H98:I98"/>
    <mergeCell ref="J98:K98"/>
    <mergeCell ref="H99:I99"/>
    <mergeCell ref="J99:K99"/>
    <mergeCell ref="H100:I100"/>
    <mergeCell ref="J100:K100"/>
    <mergeCell ref="H101:I101"/>
    <mergeCell ref="J101:K101"/>
    <mergeCell ref="H102:I102"/>
    <mergeCell ref="J102:K102"/>
    <mergeCell ref="H103:I103"/>
    <mergeCell ref="J103:K103"/>
    <mergeCell ref="H104:I104"/>
    <mergeCell ref="J104:K104"/>
    <mergeCell ref="H105:I105"/>
    <mergeCell ref="J105:K105"/>
    <mergeCell ref="A106:I106"/>
    <mergeCell ref="A112:K112"/>
    <mergeCell ref="A113:K113"/>
    <mergeCell ref="A107:K107"/>
    <mergeCell ref="A108:K108"/>
    <mergeCell ref="A109:K109"/>
    <mergeCell ref="A110:K110"/>
    <mergeCell ref="A111:K1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8932A"/>
  </sheetPr>
  <dimension ref="A1:J27"/>
  <sheetViews>
    <sheetView showGridLines="0" zoomScale="214" zoomScaleNormal="214" workbookViewId="0">
      <pane ySplit="4" topLeftCell="A5" activePane="bottomLeft" state="frozen"/>
      <selection pane="bottomLeft" activeCell="B11" sqref="B11"/>
    </sheetView>
  </sheetViews>
  <sheetFormatPr baseColWidth="10" defaultColWidth="8.6640625" defaultRowHeight="15" x14ac:dyDescent="0.2"/>
  <cols>
    <col min="1" max="1" width="5" style="1" customWidth="1"/>
    <col min="2" max="2" width="62.5" style="1" customWidth="1"/>
    <col min="3" max="3" width="20" style="1" customWidth="1"/>
    <col min="4" max="4" width="18" style="1" customWidth="1"/>
    <col min="5" max="6" width="14" style="1" customWidth="1"/>
    <col min="7" max="8" width="18" style="1" customWidth="1"/>
    <col min="9" max="9" width="16" style="1" customWidth="1"/>
    <col min="10" max="10" width="10" style="1" customWidth="1"/>
  </cols>
  <sheetData>
    <row r="1" spans="1:10" ht="25.5" customHeight="1" x14ac:dyDescent="0.2">
      <c r="A1" s="74" t="s">
        <v>127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5.75" customHeight="1" x14ac:dyDescent="0.2">
      <c r="A2" s="75" t="s">
        <v>128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30" customHeight="1" x14ac:dyDescent="0.2">
      <c r="A4" s="10" t="s">
        <v>24</v>
      </c>
      <c r="B4" s="10" t="s">
        <v>25</v>
      </c>
      <c r="C4" s="10" t="s">
        <v>129</v>
      </c>
      <c r="D4" s="10" t="s">
        <v>130</v>
      </c>
      <c r="E4" s="10" t="s">
        <v>26</v>
      </c>
      <c r="F4" s="10" t="s">
        <v>131</v>
      </c>
      <c r="G4" s="10" t="s">
        <v>132</v>
      </c>
      <c r="H4" s="10" t="s">
        <v>133</v>
      </c>
      <c r="I4" s="10" t="s">
        <v>134</v>
      </c>
      <c r="J4" s="10" t="s">
        <v>29</v>
      </c>
    </row>
    <row r="5" spans="1:10" ht="15" customHeight="1" x14ac:dyDescent="0.2">
      <c r="A5" s="15">
        <v>1</v>
      </c>
      <c r="B5" s="16" t="s">
        <v>135</v>
      </c>
      <c r="C5" s="17">
        <f>SUMIF('Resep Menu'!$B:$B,B5,'Resep Menu'!$H:$H)</f>
        <v>7765</v>
      </c>
      <c r="D5" s="21">
        <v>4000</v>
      </c>
      <c r="E5" s="30">
        <f t="shared" ref="E5:E14" si="0">C5+D5</f>
        <v>11765</v>
      </c>
      <c r="F5" s="50">
        <v>0.8</v>
      </c>
      <c r="G5" s="17">
        <f t="shared" ref="G5:G14" si="1">E5/F5</f>
        <v>14706.25</v>
      </c>
      <c r="H5" s="51">
        <f t="shared" ref="H5:H14" si="2">ROUND(G5/500,0)*500</f>
        <v>14500</v>
      </c>
      <c r="I5" s="17">
        <f t="shared" ref="I5:I14" si="3">H5-E5</f>
        <v>2735</v>
      </c>
      <c r="J5" s="18">
        <f t="shared" ref="J5:J14" si="4">I5/H5</f>
        <v>0.18862068965517242</v>
      </c>
    </row>
    <row r="6" spans="1:10" ht="15" customHeight="1" x14ac:dyDescent="0.2">
      <c r="A6" s="11">
        <v>2</v>
      </c>
      <c r="B6" s="12" t="s">
        <v>136</v>
      </c>
      <c r="C6" s="13">
        <f>SUMIF('Resep Menu'!$B:$B,B6,'Resep Menu'!$H:$H)</f>
        <v>7215</v>
      </c>
      <c r="D6" s="21">
        <v>4000</v>
      </c>
      <c r="E6" s="34">
        <f t="shared" si="0"/>
        <v>11215</v>
      </c>
      <c r="F6" s="50">
        <v>0.8</v>
      </c>
      <c r="G6" s="13">
        <f t="shared" si="1"/>
        <v>14018.75</v>
      </c>
      <c r="H6" s="51">
        <f t="shared" si="2"/>
        <v>14000</v>
      </c>
      <c r="I6" s="13">
        <f t="shared" si="3"/>
        <v>2785</v>
      </c>
      <c r="J6" s="14">
        <f t="shared" si="4"/>
        <v>0.19892857142857143</v>
      </c>
    </row>
    <row r="7" spans="1:10" ht="15" customHeight="1" x14ac:dyDescent="0.2">
      <c r="A7" s="15">
        <v>3</v>
      </c>
      <c r="B7" s="16" t="s">
        <v>137</v>
      </c>
      <c r="C7" s="17">
        <f>SUMIF('Resep Menu'!$B:$B,B7,'Resep Menu'!$H:$H)</f>
        <v>3290</v>
      </c>
      <c r="D7" s="21">
        <v>4000</v>
      </c>
      <c r="E7" s="30">
        <f t="shared" si="0"/>
        <v>7290</v>
      </c>
      <c r="F7" s="50">
        <v>0.8</v>
      </c>
      <c r="G7" s="17">
        <f t="shared" si="1"/>
        <v>9112.5</v>
      </c>
      <c r="H7" s="51">
        <f t="shared" si="2"/>
        <v>9000</v>
      </c>
      <c r="I7" s="17">
        <f t="shared" si="3"/>
        <v>1710</v>
      </c>
      <c r="J7" s="18">
        <f t="shared" si="4"/>
        <v>0.19</v>
      </c>
    </row>
    <row r="8" spans="1:10" ht="15" customHeight="1" x14ac:dyDescent="0.2">
      <c r="A8" s="11">
        <v>4</v>
      </c>
      <c r="B8" s="12" t="s">
        <v>138</v>
      </c>
      <c r="C8" s="13">
        <f>SUMIF('Resep Menu'!$B:$B,B8,'Resep Menu'!$H:$H)</f>
        <v>8025</v>
      </c>
      <c r="D8" s="21">
        <v>4000</v>
      </c>
      <c r="E8" s="34">
        <f t="shared" si="0"/>
        <v>12025</v>
      </c>
      <c r="F8" s="50">
        <v>0.8</v>
      </c>
      <c r="G8" s="13">
        <f t="shared" si="1"/>
        <v>15031.25</v>
      </c>
      <c r="H8" s="51">
        <f t="shared" si="2"/>
        <v>15000</v>
      </c>
      <c r="I8" s="13">
        <f t="shared" si="3"/>
        <v>2975</v>
      </c>
      <c r="J8" s="14">
        <f t="shared" si="4"/>
        <v>0.19833333333333333</v>
      </c>
    </row>
    <row r="9" spans="1:10" ht="15" customHeight="1" x14ac:dyDescent="0.2">
      <c r="A9" s="15">
        <v>5</v>
      </c>
      <c r="B9" s="16" t="s">
        <v>139</v>
      </c>
      <c r="C9" s="17">
        <f>SUMIF('Resep Menu'!$B:$B,B9,'Resep Menu'!$H:$H)</f>
        <v>13660</v>
      </c>
      <c r="D9" s="21">
        <v>4000</v>
      </c>
      <c r="E9" s="30">
        <f t="shared" si="0"/>
        <v>17660</v>
      </c>
      <c r="F9" s="50">
        <v>0.8</v>
      </c>
      <c r="G9" s="17">
        <f t="shared" si="1"/>
        <v>22075</v>
      </c>
      <c r="H9" s="51">
        <f t="shared" si="2"/>
        <v>22000</v>
      </c>
      <c r="I9" s="17">
        <f t="shared" si="3"/>
        <v>4340</v>
      </c>
      <c r="J9" s="18">
        <f t="shared" si="4"/>
        <v>0.19727272727272727</v>
      </c>
    </row>
    <row r="10" spans="1:10" ht="15" customHeight="1" x14ac:dyDescent="0.2">
      <c r="A10" s="11">
        <v>6</v>
      </c>
      <c r="B10" s="12" t="s">
        <v>140</v>
      </c>
      <c r="C10" s="13">
        <f>SUMIF('Resep Menu'!$B:$B,B10,'Resep Menu'!$H:$H)</f>
        <v>9495</v>
      </c>
      <c r="D10" s="21">
        <v>4000</v>
      </c>
      <c r="E10" s="34">
        <f t="shared" si="0"/>
        <v>13495</v>
      </c>
      <c r="F10" s="50">
        <v>0.8</v>
      </c>
      <c r="G10" s="13">
        <f t="shared" si="1"/>
        <v>16868.75</v>
      </c>
      <c r="H10" s="51">
        <f t="shared" si="2"/>
        <v>17000</v>
      </c>
      <c r="I10" s="13">
        <f t="shared" si="3"/>
        <v>3505</v>
      </c>
      <c r="J10" s="14">
        <f t="shared" si="4"/>
        <v>0.20617647058823529</v>
      </c>
    </row>
    <row r="11" spans="1:10" ht="15" customHeight="1" x14ac:dyDescent="0.2">
      <c r="A11" s="15">
        <v>7</v>
      </c>
      <c r="B11" s="16" t="s">
        <v>141</v>
      </c>
      <c r="C11" s="17">
        <f>SUMIF('Resep Menu'!$B:$B,B11,'Resep Menu'!$H:$H)</f>
        <v>9625</v>
      </c>
      <c r="D11" s="21">
        <v>4000</v>
      </c>
      <c r="E11" s="30">
        <f t="shared" si="0"/>
        <v>13625</v>
      </c>
      <c r="F11" s="50">
        <v>0.8</v>
      </c>
      <c r="G11" s="17">
        <f t="shared" si="1"/>
        <v>17031.25</v>
      </c>
      <c r="H11" s="51">
        <f t="shared" si="2"/>
        <v>17000</v>
      </c>
      <c r="I11" s="17">
        <f t="shared" si="3"/>
        <v>3375</v>
      </c>
      <c r="J11" s="18">
        <f t="shared" si="4"/>
        <v>0.19852941176470587</v>
      </c>
    </row>
    <row r="12" spans="1:10" ht="15" customHeight="1" x14ac:dyDescent="0.2">
      <c r="A12" s="11">
        <v>8</v>
      </c>
      <c r="B12" s="52" t="s">
        <v>142</v>
      </c>
      <c r="C12" s="13">
        <f>SUMIF('Resep Menu'!$B:$B,B12,'Resep Menu'!$H:$H)</f>
        <v>8825</v>
      </c>
      <c r="D12" s="21">
        <v>4000</v>
      </c>
      <c r="E12" s="34">
        <f t="shared" si="0"/>
        <v>12825</v>
      </c>
      <c r="F12" s="50">
        <v>0.8</v>
      </c>
      <c r="G12" s="13">
        <f t="shared" si="1"/>
        <v>16031.25</v>
      </c>
      <c r="H12" s="51">
        <f t="shared" si="2"/>
        <v>16000</v>
      </c>
      <c r="I12" s="13">
        <f t="shared" si="3"/>
        <v>3175</v>
      </c>
      <c r="J12" s="14">
        <f t="shared" si="4"/>
        <v>0.19843749999999999</v>
      </c>
    </row>
    <row r="13" spans="1:10" ht="15" customHeight="1" x14ac:dyDescent="0.2">
      <c r="A13" s="15">
        <v>9</v>
      </c>
      <c r="B13" s="16" t="s">
        <v>143</v>
      </c>
      <c r="C13" s="17">
        <f>SUMIF('Resep Menu'!$B:$B,B13,'Resep Menu'!$H:$H)</f>
        <v>8450</v>
      </c>
      <c r="D13" s="21">
        <v>4000</v>
      </c>
      <c r="E13" s="30">
        <f t="shared" si="0"/>
        <v>12450</v>
      </c>
      <c r="F13" s="50">
        <v>0.8</v>
      </c>
      <c r="G13" s="17">
        <f t="shared" si="1"/>
        <v>15562.5</v>
      </c>
      <c r="H13" s="51">
        <f t="shared" si="2"/>
        <v>15500</v>
      </c>
      <c r="I13" s="17">
        <f t="shared" si="3"/>
        <v>3050</v>
      </c>
      <c r="J13" s="18">
        <f t="shared" si="4"/>
        <v>0.1967741935483871</v>
      </c>
    </row>
    <row r="14" spans="1:10" ht="15" customHeight="1" x14ac:dyDescent="0.2">
      <c r="A14" s="11">
        <v>10</v>
      </c>
      <c r="B14" s="12" t="s">
        <v>144</v>
      </c>
      <c r="C14" s="13">
        <f>SUMIF('Resep Menu'!$B:$B,B14,'Resep Menu'!$H:$H)</f>
        <v>9100</v>
      </c>
      <c r="D14" s="21">
        <v>4000</v>
      </c>
      <c r="E14" s="34">
        <f t="shared" si="0"/>
        <v>13100</v>
      </c>
      <c r="F14" s="50">
        <v>0.8</v>
      </c>
      <c r="G14" s="13">
        <f t="shared" si="1"/>
        <v>16375</v>
      </c>
      <c r="H14" s="51">
        <f t="shared" si="2"/>
        <v>16500</v>
      </c>
      <c r="I14" s="13">
        <f t="shared" si="3"/>
        <v>3400</v>
      </c>
      <c r="J14" s="14">
        <f t="shared" si="4"/>
        <v>0.20606060606060606</v>
      </c>
    </row>
    <row r="15" spans="1:10" ht="15" customHeight="1" x14ac:dyDescent="0.2">
      <c r="A15" s="15"/>
      <c r="B15" s="16"/>
      <c r="C15" s="17"/>
      <c r="D15" s="21"/>
      <c r="E15" s="30"/>
      <c r="F15" s="50"/>
      <c r="G15" s="17"/>
      <c r="H15" s="51"/>
      <c r="I15" s="17"/>
      <c r="J15" s="18"/>
    </row>
    <row r="16" spans="1:10" ht="15" customHeight="1" x14ac:dyDescent="0.2">
      <c r="A16" s="53"/>
      <c r="B16" s="54" t="s">
        <v>145</v>
      </c>
      <c r="C16" s="55">
        <f t="shared" ref="C16:J16" si="5">AVERAGE(C5:C14)</f>
        <v>8545</v>
      </c>
      <c r="D16" s="55">
        <f t="shared" si="5"/>
        <v>4000</v>
      </c>
      <c r="E16" s="55">
        <f t="shared" si="5"/>
        <v>12545</v>
      </c>
      <c r="F16" s="56">
        <f t="shared" si="5"/>
        <v>0.79999999999999993</v>
      </c>
      <c r="G16" s="55">
        <f t="shared" si="5"/>
        <v>15681.25</v>
      </c>
      <c r="H16" s="55">
        <f t="shared" si="5"/>
        <v>15650</v>
      </c>
      <c r="I16" s="55">
        <f t="shared" si="5"/>
        <v>3105</v>
      </c>
      <c r="J16" s="56">
        <f t="shared" si="5"/>
        <v>0.19791335036517388</v>
      </c>
    </row>
    <row r="17" spans="1:10" ht="15" customHeight="1" x14ac:dyDescent="0.2">
      <c r="A17" s="15"/>
      <c r="B17" s="16"/>
      <c r="C17" s="17"/>
      <c r="D17" s="21"/>
      <c r="E17" s="30"/>
      <c r="F17" s="50"/>
      <c r="G17" s="17"/>
      <c r="H17" s="51"/>
      <c r="I17" s="17"/>
      <c r="J17" s="18"/>
    </row>
    <row r="18" spans="1:10" ht="15" customHeight="1" x14ac:dyDescent="0.2">
      <c r="A18" s="26"/>
      <c r="B18" s="12"/>
      <c r="C18" s="13"/>
      <c r="D18" s="21"/>
      <c r="E18" s="34"/>
      <c r="F18" s="50"/>
      <c r="G18" s="13"/>
      <c r="H18" s="51"/>
      <c r="I18" s="13"/>
      <c r="J18" s="14"/>
    </row>
    <row r="19" spans="1:10" ht="15" customHeight="1" x14ac:dyDescent="0.2">
      <c r="A19" s="27" t="s">
        <v>146</v>
      </c>
      <c r="B19" s="16"/>
      <c r="C19" s="17"/>
      <c r="D19" s="21"/>
      <c r="E19" s="30"/>
      <c r="F19" s="50"/>
      <c r="G19" s="17"/>
      <c r="H19" s="51"/>
      <c r="I19" s="17"/>
      <c r="J19" s="18"/>
    </row>
    <row r="20" spans="1:10" ht="15" customHeight="1" x14ac:dyDescent="0.2">
      <c r="A20" s="27" t="s">
        <v>147</v>
      </c>
      <c r="B20" s="12"/>
      <c r="C20" s="13"/>
      <c r="D20" s="21"/>
      <c r="E20" s="34"/>
      <c r="F20" s="50"/>
      <c r="G20" s="13"/>
      <c r="H20" s="51"/>
      <c r="I20" s="13"/>
      <c r="J20" s="14"/>
    </row>
    <row r="21" spans="1:10" ht="15" customHeight="1" x14ac:dyDescent="0.2">
      <c r="A21" s="27"/>
    </row>
    <row r="22" spans="1:10" ht="15" customHeight="1" x14ac:dyDescent="0.2">
      <c r="A22" s="53"/>
      <c r="B22" s="54"/>
      <c r="C22" s="55"/>
      <c r="D22" s="55"/>
      <c r="E22" s="55"/>
      <c r="F22" s="56"/>
      <c r="G22" s="55"/>
      <c r="H22" s="55"/>
      <c r="I22" s="55"/>
      <c r="J22" s="56"/>
    </row>
    <row r="24" spans="1:10" ht="15" customHeight="1" x14ac:dyDescent="0.2">
      <c r="A24" s="26"/>
    </row>
    <row r="25" spans="1:10" ht="15" customHeight="1" x14ac:dyDescent="0.2">
      <c r="A25" s="27"/>
    </row>
    <row r="26" spans="1:10" ht="15" customHeight="1" x14ac:dyDescent="0.2">
      <c r="A26" s="27"/>
    </row>
    <row r="27" spans="1:10" ht="15" customHeight="1" x14ac:dyDescent="0.2">
      <c r="A27" s="27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8932A"/>
  </sheetPr>
  <dimension ref="A1:E30"/>
  <sheetViews>
    <sheetView showGridLines="0" zoomScale="183" zoomScaleNormal="183" workbookViewId="0">
      <selection activeCell="C13" sqref="C13"/>
    </sheetView>
  </sheetViews>
  <sheetFormatPr baseColWidth="10" defaultColWidth="8.6640625" defaultRowHeight="15" x14ac:dyDescent="0.2"/>
  <cols>
    <col min="1" max="1" width="5" style="1" customWidth="1"/>
    <col min="2" max="2" width="30.1640625" style="1" customWidth="1"/>
    <col min="3" max="3" width="63" style="1" customWidth="1"/>
    <col min="4" max="4" width="18" style="1" customWidth="1"/>
    <col min="5" max="5" width="52" style="1" customWidth="1"/>
  </cols>
  <sheetData>
    <row r="1" spans="1:5" ht="25.5" customHeight="1" x14ac:dyDescent="0.2">
      <c r="A1" s="74" t="s">
        <v>148</v>
      </c>
      <c r="B1" s="74"/>
      <c r="C1" s="74"/>
      <c r="D1" s="74"/>
      <c r="E1" s="74"/>
    </row>
    <row r="2" spans="1:5" ht="15.75" customHeight="1" x14ac:dyDescent="0.2">
      <c r="A2" s="75" t="s">
        <v>149</v>
      </c>
      <c r="B2" s="75"/>
      <c r="C2" s="75"/>
      <c r="D2" s="75"/>
      <c r="E2" s="75"/>
    </row>
    <row r="4" spans="1:5" ht="19.5" customHeight="1" x14ac:dyDescent="0.2">
      <c r="A4" s="76" t="s">
        <v>150</v>
      </c>
      <c r="B4" s="76"/>
      <c r="C4" s="76"/>
      <c r="D4" s="76"/>
      <c r="E4" s="76"/>
    </row>
    <row r="5" spans="1:5" ht="30" customHeight="1" x14ac:dyDescent="0.2">
      <c r="A5" s="10" t="s">
        <v>24</v>
      </c>
      <c r="B5" s="10" t="s">
        <v>25</v>
      </c>
      <c r="C5" s="10" t="s">
        <v>151</v>
      </c>
      <c r="D5" s="10" t="s">
        <v>152</v>
      </c>
      <c r="E5" s="10" t="s">
        <v>153</v>
      </c>
    </row>
    <row r="6" spans="1:5" ht="15" customHeight="1" x14ac:dyDescent="0.2">
      <c r="A6" s="15">
        <v>1</v>
      </c>
      <c r="B6" s="16" t="s">
        <v>154</v>
      </c>
      <c r="C6" s="23" t="s">
        <v>155</v>
      </c>
      <c r="D6" s="15" t="s">
        <v>156</v>
      </c>
      <c r="E6" s="57" t="s">
        <v>157</v>
      </c>
    </row>
    <row r="7" spans="1:5" ht="15" customHeight="1" x14ac:dyDescent="0.2">
      <c r="A7" s="11">
        <v>2</v>
      </c>
      <c r="B7" s="12" t="s">
        <v>158</v>
      </c>
      <c r="C7" s="20" t="s">
        <v>159</v>
      </c>
      <c r="D7" s="11" t="s">
        <v>156</v>
      </c>
      <c r="E7" s="58" t="s">
        <v>160</v>
      </c>
    </row>
    <row r="8" spans="1:5" ht="15" customHeight="1" x14ac:dyDescent="0.2">
      <c r="A8" s="15">
        <v>3</v>
      </c>
      <c r="B8" s="16" t="s">
        <v>161</v>
      </c>
      <c r="C8" s="23" t="s">
        <v>162</v>
      </c>
      <c r="D8" s="15" t="s">
        <v>163</v>
      </c>
      <c r="E8" s="57" t="s">
        <v>164</v>
      </c>
    </row>
    <row r="9" spans="1:5" ht="15" customHeight="1" x14ac:dyDescent="0.2">
      <c r="A9" s="11">
        <v>4</v>
      </c>
      <c r="B9" s="12" t="s">
        <v>165</v>
      </c>
      <c r="C9" s="20" t="s">
        <v>166</v>
      </c>
      <c r="D9" s="11" t="s">
        <v>167</v>
      </c>
      <c r="E9" s="58" t="s">
        <v>168</v>
      </c>
    </row>
    <row r="10" spans="1:5" ht="15" customHeight="1" x14ac:dyDescent="0.2">
      <c r="A10" s="15">
        <v>5</v>
      </c>
      <c r="B10" s="16" t="s">
        <v>169</v>
      </c>
      <c r="C10" s="23" t="s">
        <v>170</v>
      </c>
      <c r="D10" s="15" t="s">
        <v>171</v>
      </c>
      <c r="E10" s="57" t="s">
        <v>172</v>
      </c>
    </row>
    <row r="11" spans="1:5" ht="15" customHeight="1" x14ac:dyDescent="0.2">
      <c r="A11" s="11">
        <v>6</v>
      </c>
      <c r="B11" s="12" t="s">
        <v>173</v>
      </c>
      <c r="C11" s="20" t="s">
        <v>174</v>
      </c>
      <c r="D11" s="11" t="s">
        <v>175</v>
      </c>
      <c r="E11" s="58" t="s">
        <v>176</v>
      </c>
    </row>
    <row r="12" spans="1:5" ht="15" customHeight="1" x14ac:dyDescent="0.2">
      <c r="A12" s="15">
        <v>7</v>
      </c>
      <c r="B12" s="16" t="s">
        <v>177</v>
      </c>
      <c r="C12" s="23" t="s">
        <v>178</v>
      </c>
      <c r="D12" s="15" t="s">
        <v>179</v>
      </c>
      <c r="E12" s="57" t="s">
        <v>180</v>
      </c>
    </row>
    <row r="13" spans="1:5" ht="15" customHeight="1" x14ac:dyDescent="0.2">
      <c r="A13" s="11">
        <v>8</v>
      </c>
      <c r="B13" s="12" t="s">
        <v>181</v>
      </c>
      <c r="C13" s="20" t="s">
        <v>182</v>
      </c>
      <c r="D13" s="11" t="s">
        <v>183</v>
      </c>
      <c r="E13" s="58" t="s">
        <v>184</v>
      </c>
    </row>
    <row r="15" spans="1:5" ht="19.5" customHeight="1" x14ac:dyDescent="0.2">
      <c r="A15" s="76" t="s">
        <v>185</v>
      </c>
      <c r="B15" s="76"/>
      <c r="C15" s="76"/>
      <c r="D15" s="76"/>
      <c r="E15" s="76"/>
    </row>
    <row r="16" spans="1:5" ht="30" customHeight="1" x14ac:dyDescent="0.2">
      <c r="A16" s="10" t="s">
        <v>24</v>
      </c>
      <c r="B16" s="10" t="s">
        <v>25</v>
      </c>
      <c r="C16" s="10" t="s">
        <v>151</v>
      </c>
      <c r="D16" s="10" t="s">
        <v>152</v>
      </c>
      <c r="E16" s="10" t="s">
        <v>153</v>
      </c>
    </row>
    <row r="17" spans="1:5" ht="15" customHeight="1" x14ac:dyDescent="0.2">
      <c r="A17" s="15">
        <v>1</v>
      </c>
      <c r="B17" s="16" t="s">
        <v>186</v>
      </c>
      <c r="C17" s="23" t="s">
        <v>187</v>
      </c>
      <c r="D17" s="15" t="s">
        <v>188</v>
      </c>
      <c r="E17" s="57" t="s">
        <v>189</v>
      </c>
    </row>
    <row r="18" spans="1:5" ht="15" customHeight="1" x14ac:dyDescent="0.2">
      <c r="A18" s="11">
        <v>2</v>
      </c>
      <c r="B18" s="12" t="s">
        <v>190</v>
      </c>
      <c r="C18" s="20" t="s">
        <v>191</v>
      </c>
      <c r="D18" s="11" t="s">
        <v>188</v>
      </c>
      <c r="E18" s="58" t="s">
        <v>192</v>
      </c>
    </row>
    <row r="19" spans="1:5" ht="15" customHeight="1" x14ac:dyDescent="0.2">
      <c r="A19" s="15">
        <v>3</v>
      </c>
      <c r="B19" s="16" t="s">
        <v>193</v>
      </c>
      <c r="C19" s="23" t="s">
        <v>194</v>
      </c>
      <c r="D19" s="15" t="s">
        <v>188</v>
      </c>
      <c r="E19" s="57" t="s">
        <v>195</v>
      </c>
    </row>
    <row r="20" spans="1:5" ht="15" customHeight="1" x14ac:dyDescent="0.2">
      <c r="A20" s="11">
        <v>4</v>
      </c>
      <c r="B20" s="12" t="s">
        <v>196</v>
      </c>
      <c r="C20" s="20" t="s">
        <v>197</v>
      </c>
      <c r="D20" s="11" t="s">
        <v>188</v>
      </c>
      <c r="E20" s="58" t="s">
        <v>198</v>
      </c>
    </row>
    <row r="21" spans="1:5" ht="15" customHeight="1" x14ac:dyDescent="0.2">
      <c r="A21" s="15">
        <v>5</v>
      </c>
      <c r="B21" s="16" t="s">
        <v>199</v>
      </c>
      <c r="C21" s="23" t="s">
        <v>200</v>
      </c>
      <c r="D21" s="15" t="s">
        <v>201</v>
      </c>
      <c r="E21" s="57" t="s">
        <v>202</v>
      </c>
    </row>
    <row r="22" spans="1:5" ht="15" customHeight="1" x14ac:dyDescent="0.2">
      <c r="A22" s="11">
        <v>6</v>
      </c>
      <c r="B22" s="12" t="s">
        <v>203</v>
      </c>
      <c r="C22" s="20" t="s">
        <v>204</v>
      </c>
      <c r="D22" s="11" t="s">
        <v>188</v>
      </c>
      <c r="E22" s="58" t="s">
        <v>205</v>
      </c>
    </row>
    <row r="23" spans="1:5" ht="15" customHeight="1" x14ac:dyDescent="0.2">
      <c r="A23" s="15">
        <v>7</v>
      </c>
      <c r="B23" s="16" t="s">
        <v>206</v>
      </c>
      <c r="C23" s="23" t="s">
        <v>207</v>
      </c>
      <c r="D23" s="15" t="s">
        <v>188</v>
      </c>
      <c r="E23" s="57" t="s">
        <v>208</v>
      </c>
    </row>
    <row r="24" spans="1:5" ht="15" customHeight="1" x14ac:dyDescent="0.2">
      <c r="A24" s="11">
        <v>8</v>
      </c>
      <c r="B24" s="12" t="s">
        <v>209</v>
      </c>
      <c r="C24" s="20" t="s">
        <v>210</v>
      </c>
      <c r="D24" s="11" t="s">
        <v>211</v>
      </c>
      <c r="E24" s="58" t="s">
        <v>212</v>
      </c>
    </row>
    <row r="26" spans="1:5" ht="19.5" customHeight="1" x14ac:dyDescent="0.2">
      <c r="A26" s="76" t="s">
        <v>213</v>
      </c>
      <c r="B26" s="76"/>
      <c r="C26" s="76"/>
      <c r="D26" s="76"/>
      <c r="E26" s="76"/>
    </row>
    <row r="27" spans="1:5" ht="30" customHeight="1" x14ac:dyDescent="0.2">
      <c r="A27" s="94" t="s">
        <v>214</v>
      </c>
      <c r="B27" s="94"/>
      <c r="C27" s="94"/>
      <c r="D27" s="94"/>
      <c r="E27" s="94"/>
    </row>
    <row r="28" spans="1:5" ht="30" customHeight="1" x14ac:dyDescent="0.2">
      <c r="A28" s="95" t="s">
        <v>215</v>
      </c>
      <c r="B28" s="95"/>
      <c r="C28" s="95"/>
      <c r="D28" s="95"/>
      <c r="E28" s="95"/>
    </row>
    <row r="29" spans="1:5" ht="30" customHeight="1" x14ac:dyDescent="0.2">
      <c r="A29" s="94" t="s">
        <v>216</v>
      </c>
      <c r="B29" s="94"/>
      <c r="C29" s="94"/>
      <c r="D29" s="94"/>
      <c r="E29" s="94"/>
    </row>
    <row r="30" spans="1:5" ht="30" customHeight="1" x14ac:dyDescent="0.2">
      <c r="A30" s="95" t="s">
        <v>217</v>
      </c>
      <c r="B30" s="95"/>
      <c r="C30" s="95"/>
      <c r="D30" s="95"/>
      <c r="E30" s="95"/>
    </row>
  </sheetData>
  <mergeCells count="9">
    <mergeCell ref="A27:E27"/>
    <mergeCell ref="A28:E28"/>
    <mergeCell ref="A29:E29"/>
    <mergeCell ref="A30:E30"/>
    <mergeCell ref="A1:E1"/>
    <mergeCell ref="A2:E2"/>
    <mergeCell ref="A4:E4"/>
    <mergeCell ref="A15:E15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B2415"/>
  </sheetPr>
  <dimension ref="A1:D37"/>
  <sheetViews>
    <sheetView showGridLines="0" topLeftCell="A4" zoomScale="137" zoomScaleNormal="137" workbookViewId="0">
      <selection activeCell="C12" sqref="C12"/>
    </sheetView>
  </sheetViews>
  <sheetFormatPr baseColWidth="10" defaultColWidth="8.6640625" defaultRowHeight="15" x14ac:dyDescent="0.2"/>
  <cols>
    <col min="1" max="1" width="5" style="1" customWidth="1"/>
    <col min="2" max="2" width="66" style="1" customWidth="1"/>
    <col min="3" max="3" width="22.6640625" style="1" customWidth="1"/>
    <col min="4" max="4" width="57.1640625" style="1" customWidth="1"/>
  </cols>
  <sheetData>
    <row r="1" spans="1:4" ht="25.5" customHeight="1" x14ac:dyDescent="0.2">
      <c r="A1" s="74" t="s">
        <v>218</v>
      </c>
      <c r="B1" s="74"/>
      <c r="C1" s="74"/>
      <c r="D1" s="74"/>
    </row>
    <row r="2" spans="1:4" ht="15.75" customHeight="1" x14ac:dyDescent="0.2">
      <c r="A2" s="75" t="s">
        <v>219</v>
      </c>
      <c r="B2" s="75"/>
      <c r="C2" s="75"/>
      <c r="D2" s="75"/>
    </row>
    <row r="4" spans="1:4" ht="19.5" customHeight="1" x14ac:dyDescent="0.2">
      <c r="A4" s="76" t="s">
        <v>220</v>
      </c>
      <c r="B4" s="76"/>
      <c r="C4" s="76"/>
      <c r="D4" s="76"/>
    </row>
    <row r="5" spans="1:4" ht="30" customHeight="1" x14ac:dyDescent="0.2">
      <c r="A5" s="10" t="s">
        <v>24</v>
      </c>
      <c r="B5" s="10" t="s">
        <v>221</v>
      </c>
      <c r="C5" s="10" t="s">
        <v>222</v>
      </c>
      <c r="D5" s="10" t="s">
        <v>223</v>
      </c>
    </row>
    <row r="6" spans="1:4" ht="15" customHeight="1" x14ac:dyDescent="0.2">
      <c r="A6" s="15">
        <v>1</v>
      </c>
      <c r="B6" s="23" t="s">
        <v>224</v>
      </c>
      <c r="C6" s="21">
        <v>600000</v>
      </c>
      <c r="D6" s="57" t="s">
        <v>225</v>
      </c>
    </row>
    <row r="7" spans="1:4" ht="15" customHeight="1" x14ac:dyDescent="0.2">
      <c r="A7" s="11">
        <v>2</v>
      </c>
      <c r="B7" s="20" t="s">
        <v>226</v>
      </c>
      <c r="C7" s="21">
        <v>1500000</v>
      </c>
      <c r="D7" s="58" t="s">
        <v>227</v>
      </c>
    </row>
    <row r="8" spans="1:4" ht="15" customHeight="1" x14ac:dyDescent="0.2">
      <c r="A8" s="15">
        <v>3</v>
      </c>
      <c r="B8" s="23" t="s">
        <v>228</v>
      </c>
      <c r="C8" s="21">
        <v>500000</v>
      </c>
      <c r="D8" s="57" t="s">
        <v>229</v>
      </c>
    </row>
    <row r="9" spans="1:4" ht="15" customHeight="1" x14ac:dyDescent="0.2">
      <c r="A9" s="11">
        <v>4</v>
      </c>
      <c r="B9" s="20" t="s">
        <v>230</v>
      </c>
      <c r="C9" s="21">
        <v>200000</v>
      </c>
      <c r="D9" s="58" t="s">
        <v>231</v>
      </c>
    </row>
    <row r="10" spans="1:4" ht="15" customHeight="1" x14ac:dyDescent="0.2">
      <c r="A10" s="15">
        <v>5</v>
      </c>
      <c r="B10" s="23" t="s">
        <v>232</v>
      </c>
      <c r="C10" s="21">
        <v>300000</v>
      </c>
      <c r="D10" s="57" t="s">
        <v>233</v>
      </c>
    </row>
    <row r="11" spans="1:4" ht="15" customHeight="1" x14ac:dyDescent="0.2">
      <c r="A11" s="11">
        <v>6</v>
      </c>
      <c r="B11" s="20" t="s">
        <v>234</v>
      </c>
      <c r="C11" s="21">
        <v>500000</v>
      </c>
      <c r="D11" s="58" t="s">
        <v>235</v>
      </c>
    </row>
    <row r="12" spans="1:4" ht="15" customHeight="1" x14ac:dyDescent="0.2">
      <c r="A12" s="15">
        <v>7</v>
      </c>
      <c r="B12" s="23" t="s">
        <v>236</v>
      </c>
      <c r="C12" s="21">
        <v>300000</v>
      </c>
      <c r="D12" s="57" t="s">
        <v>237</v>
      </c>
    </row>
    <row r="13" spans="1:4" ht="15" customHeight="1" x14ac:dyDescent="0.2">
      <c r="A13" s="53"/>
      <c r="B13" s="19" t="s">
        <v>238</v>
      </c>
      <c r="C13" s="59">
        <f>SUM(C6:C12)</f>
        <v>3900000</v>
      </c>
      <c r="D13" s="60"/>
    </row>
    <row r="15" spans="1:4" ht="19.5" customHeight="1" x14ac:dyDescent="0.2">
      <c r="A15" s="76" t="s">
        <v>239</v>
      </c>
      <c r="B15" s="76"/>
      <c r="C15" s="76"/>
      <c r="D15" s="76"/>
    </row>
    <row r="16" spans="1:4" ht="15" customHeight="1" x14ac:dyDescent="0.2">
      <c r="B16" s="23" t="s">
        <v>240</v>
      </c>
      <c r="C16" s="17">
        <f>'HPP &amp; Harga Jual'!H16</f>
        <v>15650</v>
      </c>
    </row>
    <row r="17" spans="1:4" ht="15" customHeight="1" x14ac:dyDescent="0.2">
      <c r="B17" s="23" t="s">
        <v>241</v>
      </c>
      <c r="C17" s="17">
        <f>'HPP &amp; Harga Jual'!E16</f>
        <v>12545</v>
      </c>
    </row>
    <row r="18" spans="1:4" ht="15" customHeight="1" x14ac:dyDescent="0.2">
      <c r="B18" s="16" t="s">
        <v>242</v>
      </c>
      <c r="C18" s="30">
        <f>C16-C17</f>
        <v>3105</v>
      </c>
    </row>
    <row r="20" spans="1:4" ht="19.5" customHeight="1" x14ac:dyDescent="0.2">
      <c r="A20" s="76" t="s">
        <v>243</v>
      </c>
      <c r="B20" s="76"/>
      <c r="C20" s="76"/>
      <c r="D20" s="76"/>
    </row>
    <row r="21" spans="1:4" ht="15" customHeight="1" x14ac:dyDescent="0.2">
      <c r="B21" s="23" t="s">
        <v>244</v>
      </c>
      <c r="C21" s="61">
        <f>ROUNDUP(C13/C18,0)</f>
        <v>1257</v>
      </c>
    </row>
    <row r="22" spans="1:4" ht="15" customHeight="1" x14ac:dyDescent="0.2">
      <c r="B22" s="23" t="s">
        <v>245</v>
      </c>
      <c r="C22" s="51">
        <f>C13/(1-(C17/C16))</f>
        <v>19657004.830917876</v>
      </c>
    </row>
    <row r="23" spans="1:4" ht="15" customHeight="1" x14ac:dyDescent="0.2">
      <c r="B23" s="23" t="s">
        <v>246</v>
      </c>
      <c r="C23" s="62">
        <f>ROUNDUP(C21/30,0)</f>
        <v>42</v>
      </c>
    </row>
    <row r="25" spans="1:4" ht="19.5" customHeight="1" x14ac:dyDescent="0.2">
      <c r="A25" s="76" t="s">
        <v>247</v>
      </c>
      <c r="B25" s="76"/>
      <c r="C25" s="76"/>
      <c r="D25" s="76"/>
    </row>
    <row r="26" spans="1:4" ht="15" customHeight="1" x14ac:dyDescent="0.2">
      <c r="B26" s="23" t="s">
        <v>248</v>
      </c>
      <c r="C26" s="63">
        <f>'Kebutuhan Stok'!G21</f>
        <v>50</v>
      </c>
      <c r="D26" s="1" t="s">
        <v>249</v>
      </c>
    </row>
    <row r="27" spans="1:4" ht="15" customHeight="1" x14ac:dyDescent="0.2">
      <c r="B27" s="23" t="s">
        <v>250</v>
      </c>
      <c r="C27" s="64">
        <f>C26*30</f>
        <v>1500</v>
      </c>
    </row>
    <row r="28" spans="1:4" ht="15" customHeight="1" x14ac:dyDescent="0.2">
      <c r="B28" s="23" t="s">
        <v>251</v>
      </c>
      <c r="C28" s="51">
        <f>(C27*C18)-C13</f>
        <v>757500</v>
      </c>
    </row>
    <row r="29" spans="1:4" ht="15" customHeight="1" x14ac:dyDescent="0.2">
      <c r="B29" s="23" t="s">
        <v>252</v>
      </c>
      <c r="C29" s="65" t="str">
        <f>IF(C27&gt;=C21,"✓ SUDAH MELEWATI BEP","BELUM MENCAPAI BEP")</f>
        <v>✓ SUDAH MELEWATI BEP</v>
      </c>
    </row>
    <row r="31" spans="1:4" ht="19.5" customHeight="1" x14ac:dyDescent="0.2">
      <c r="A31" s="76" t="s">
        <v>253</v>
      </c>
      <c r="B31" s="76"/>
      <c r="C31" s="76"/>
      <c r="D31" s="76"/>
    </row>
    <row r="32" spans="1:4" ht="15" customHeight="1" x14ac:dyDescent="0.2">
      <c r="B32" s="23" t="s">
        <v>254</v>
      </c>
      <c r="C32" s="21">
        <v>40000000</v>
      </c>
    </row>
    <row r="33" spans="1:3" ht="15" customHeight="1" x14ac:dyDescent="0.2">
      <c r="B33" s="23" t="s">
        <v>255</v>
      </c>
      <c r="C33" s="66">
        <f>IF(C28&gt;0,ROUNDUP(C32/C28,1),"Laba belum positif")</f>
        <v>52.9</v>
      </c>
    </row>
    <row r="35" spans="1:3" ht="15" customHeight="1" x14ac:dyDescent="0.2">
      <c r="A35" s="26" t="s">
        <v>90</v>
      </c>
    </row>
    <row r="36" spans="1:3" ht="15" customHeight="1" x14ac:dyDescent="0.2">
      <c r="A36" s="27" t="s">
        <v>256</v>
      </c>
    </row>
    <row r="37" spans="1:3" ht="15" customHeight="1" x14ac:dyDescent="0.2">
      <c r="A37" s="27" t="s">
        <v>257</v>
      </c>
    </row>
  </sheetData>
  <mergeCells count="7">
    <mergeCell ref="A25:D25"/>
    <mergeCell ref="A31:D31"/>
    <mergeCell ref="A1:D1"/>
    <mergeCell ref="A2:D2"/>
    <mergeCell ref="A4:D4"/>
    <mergeCell ref="A15:D15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8</vt:i4>
      </vt:variant>
    </vt:vector>
  </HeadingPairs>
  <TitlesOfParts>
    <vt:vector size="8" baseType="lpstr">
      <vt:lpstr>Panduan</vt:lpstr>
      <vt:lpstr>Ringkasan</vt:lpstr>
      <vt:lpstr>Master Bahan Baku</vt:lpstr>
      <vt:lpstr>Resep Menu</vt:lpstr>
      <vt:lpstr>Kebutuhan Stok</vt:lpstr>
      <vt:lpstr>HPP &amp; Harga Jual</vt:lpstr>
      <vt:lpstr>Benchmark Kompetitor</vt:lpstr>
      <vt:lpstr>BEP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2026-07-28T03:34:15Z</dcterms:created>
  <dcterms:modified xsi:type="dcterms:W3CDTF">2026-08-09T05:49:49Z</dcterms:modified>
  <dc:language>en-US</dc:language>
</cp:coreProperties>
</file>